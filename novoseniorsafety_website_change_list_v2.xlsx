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Checklist" sheetId="2" state="visible" r:id="rId4"/>
    <sheet name="Conflicts" sheetId="3" state="visible" r:id="rId5"/>
    <sheet name="New Pages" sheetId="4" state="visible" r:id="rId6"/>
    <sheet name="Verification" sheetId="5" state="visible" r:id="rId7"/>
  </sheets>
  <definedNames>
    <definedName function="false" hidden="false" localSheetId="1" name="_xlnm.Print_Titles" vbProcedure="false">Checklist!$6:$6</definedName>
    <definedName function="false" hidden="true" localSheetId="1" name="_xlnm._FilterDatabase" vbProcedure="false">Checklist!$A$6:$M$73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<sst xmlns="http://schemas.openxmlformats.org/spreadsheetml/2006/main" count="896" uniqueCount="530">
  <si>
    <t xml:space="preserve">Progress summary</t>
  </si>
  <si>
    <t xml:space="preserve">All counts are formulas reading the Checklist sheet. Update Status, Owner and Due date there.</t>
  </si>
  <si>
    <t xml:space="preserve">Last updated (enter by hand)</t>
  </si>
  <si>
    <t xml:space="preserve">Status</t>
  </si>
  <si>
    <t xml:space="preserve">Items</t>
  </si>
  <si>
    <t xml:space="preserve">Not started</t>
  </si>
  <si>
    <t xml:space="preserve">In progress</t>
  </si>
  <si>
    <t xml:space="preserve">Blocked</t>
  </si>
  <si>
    <t xml:space="preserve">Done</t>
  </si>
  <si>
    <t xml:space="preserve">Total items</t>
  </si>
  <si>
    <t xml:space="preserve">% done</t>
  </si>
  <si>
    <t xml:space="preserve">Needs attention</t>
  </si>
  <si>
    <t xml:space="preserve">Open items with no owner</t>
  </si>
  <si>
    <t xml:space="preserve">Open High-priority items with no owner</t>
  </si>
  <si>
    <t xml:space="preserve">Open items past their due date</t>
  </si>
  <si>
    <t xml:space="preserve">Blocked items</t>
  </si>
  <si>
    <t xml:space="preserve">Priority</t>
  </si>
  <si>
    <t xml:space="preserve">High</t>
  </si>
  <si>
    <t xml:space="preserve">Medium</t>
  </si>
  <si>
    <t xml:space="preserve">Low</t>
  </si>
  <si>
    <t xml:space="preserve">Work batch</t>
  </si>
  <si>
    <t xml:space="preserve">Goal</t>
  </si>
  <si>
    <t xml:space="preserve">Batch 1 - Verify &amp; set up</t>
  </si>
  <si>
    <t xml:space="preserve">Free checks and setup that need no site edits. Do these first so you have a baseline (including the AI-citation test) before anything changes.</t>
  </si>
  <si>
    <t xml:space="preserve">Batch 2 - Fix accuracy &amp; credentials</t>
  </si>
  <si>
    <t xml:space="preserve">Resolve contradictions, correct overreaching claims, update Privacy. Needs owner decisions and a lawyer review; blocks most later work.</t>
  </si>
  <si>
    <t xml:space="preserve">Batch 3 - Homepage &amp; site fixes</t>
  </si>
  <si>
    <t xml:space="preserve">Homepage on-page fixes and sitewide clean-up, once the facts are settled in Batch 2.</t>
  </si>
  <si>
    <t xml:space="preserve">Batch 4 - New pages</t>
  </si>
  <si>
    <t xml:space="preserve">Build the new pages, then link them from the homepage and update the sitemap.</t>
  </si>
  <si>
    <t xml:space="preserve">Batch 5 - Structured data</t>
  </si>
  <si>
    <t xml:space="preserve">Structured data, after the visible text is final so the markup matches the page.</t>
  </si>
  <si>
    <t xml:space="preserve">Batch 6 - Evidence &amp; ongoing</t>
  </si>
  <si>
    <t xml:space="preserve">Ongoing: testimonials, bio details, real examples, PDF regeneration if needed.</t>
  </si>
  <si>
    <t xml:space="preserve">Section</t>
  </si>
  <si>
    <t xml:space="preserve">A. Accuracy &amp; consistency</t>
  </si>
  <si>
    <t xml:space="preserve">B. New pages &amp; structure</t>
  </si>
  <si>
    <t xml:space="preserve">C. Homepage on-page</t>
  </si>
  <si>
    <t xml:space="preserve">D. Structured data &amp; entity</t>
  </si>
  <si>
    <t xml:space="preserve">E. Evidence &amp; credibility</t>
  </si>
  <si>
    <t xml:space="preserve">F. Sample report</t>
  </si>
  <si>
    <t xml:space="preserve">G. Technical &amp; measurement</t>
  </si>
  <si>
    <t xml:space="preserve">novoseniorsafety.com: website change list (v2)</t>
  </si>
  <si>
    <t xml:space="preserve">Prepared 19 Sep 2026 from the homepage, Privacy, Terms and sample PDF as fetched. See the Verification sheet for what was and wasn't checked.</t>
  </si>
  <si>
    <t xml:space="preserve">How to use: edit only the yellow columns (Owner, Due date, Status, Notes). Filter the Batch column to see one work batch; work the batches in order. 'Depends on' lists item IDs to finish first; 'Done when' is the test for marking an A or B item Done. Status options: Not started / In progress / Blocked / Done. Example: Owner = Carl; Due date = 30 Sep 2026; Status = In progress; Notes = 'Lawyer reviewing Terms'.</t>
  </si>
  <si>
    <t xml:space="preserve">Priority: High = fix first (accuracy, trust, crawl access, core pages); Medium = next; Low = polish. Status is tracked only on this sheet; the Summary reads from it.</t>
  </si>
  <si>
    <t xml:space="preserve">ID</t>
  </si>
  <si>
    <t xml:space="preserve">Batch</t>
  </si>
  <si>
    <t xml:space="preserve">Page / location</t>
  </si>
  <si>
    <t xml:space="preserve">Action</t>
  </si>
  <si>
    <t xml:space="preserve">Done when (A and B items)</t>
  </si>
  <si>
    <t xml:space="preserve">Why it matters</t>
  </si>
  <si>
    <t xml:space="preserve">Depends on</t>
  </si>
  <si>
    <t xml:space="preserve">Owner</t>
  </si>
  <si>
    <t xml:space="preserve">Due date</t>
  </si>
  <si>
    <t xml:space="preserve">Notes</t>
  </si>
  <si>
    <t xml:space="preserve">A1</t>
  </si>
  <si>
    <t xml:space="preserve">Homepage FAQ + /terms.html</t>
  </si>
  <si>
    <t xml:space="preserve">Align payment terms. Homepage FAQ: payment in full by Interac e-Transfer at booking. Terms: due on report delivery; e-transfer, credit card or cheque. Pick one policy and state it identically in both places.</t>
  </si>
  <si>
    <t xml:space="preserve">FAQ and Terms state the same payment timing and methods; final wording is recorded on the Conflicts sheet; a lawyer has approved the Terms wording.</t>
  </si>
  <si>
    <t xml:space="preserve">Contradictory terms confuse customers; AI systems will quote whichever version they find, and a customer can hold you to the more favourable one.</t>
  </si>
  <si>
    <t xml:space="preserve">A2</t>
  </si>
  <si>
    <t xml:space="preserve">Align cancellation and no-show terms. FAQ: free over 24 h, 20% fee under 24 h, 20% kept on no-show. Terms: free over 48 h, 50% fee under 48 h, full fee on no-show. Choose one set. Have a lawyer review the final wording.</t>
  </si>
  <si>
    <t xml:space="preserve">FAQ and Terms give the same cancellation window, fee percentages and no-show fee; a lawyer has approved the wording.</t>
  </si>
  <si>
    <t xml:space="preserve">Same conflict as A1; cancellation fees are the most likely source of a dispute.</t>
  </si>
  <si>
    <t xml:space="preserve">A3</t>
  </si>
  <si>
    <t xml:space="preserve">Reconcile travel charges. FAQ: flat fee within 50 km of Calgary centre, and lists Airdrie, Cochrane, Okotoks etc. as standard area. Terms: a travel supplement may apply outside city limits.</t>
  </si>
  <si>
    <t xml:space="preserve">FAQ, pricing text and Terms describe the same service area and travel charges, so a customer in Airdrie or Okotoks gets the same answer from each.</t>
  </si>
  <si>
    <t xml:space="preserve">Customers in surrounding communities could be quoted differently from what the site promises.</t>
  </si>
  <si>
    <t xml:space="preserve">A4</t>
  </si>
  <si>
    <t xml:space="preserve">Align visit-length wording (homepage: about 1.5 h for a condo up to 3 h for a large home; Terms: 'two to three hours').</t>
  </si>
  <si>
    <t xml:space="preserve">Homepage, Terms and the pricing page give the same visit-length range.</t>
  </si>
  <si>
    <t xml:space="preserve">Minor, but every factual mismatch weakens trust and citability.</t>
  </si>
  <si>
    <t xml:space="preserve">A5</t>
  </si>
  <si>
    <t xml:space="preserve">Homepage, sample PDF, /privacy.html</t>
  </si>
  <si>
    <t xml:space="preserve">Choose one accurate description of measuring equipment. Homepage: professional laser distance measurer, ±1.5 mm. Sample PDF methodology: measuring tape to the nearest millimetre plus a calibrated light meter. Privacy: LiDAR measurements.</t>
  </si>
  <si>
    <t xml:space="preserve">Measuring equipment is described identically on the homepage, methodology page/PDF and Privacy page, and matches what is actually used on visits.</t>
  </si>
  <si>
    <t xml:space="preserve">The site's headline differentiator (laser precision) is described three different ways. If the claim isn't accurate for every visit, remove or qualify it.</t>
  </si>
  <si>
    <t xml:space="preserve">A6</t>
  </si>
  <si>
    <t xml:space="preserve">Homepage, sample PDF (Section 10)</t>
  </si>
  <si>
    <t xml:space="preserve">Make contractor vetting criteria identical everywhere. Homepage: business registration, WCB, $2M insurance confirmed, 4.5+ Google rating (10+ reviews), intro call. PDF: business registration, WCB, prepaid contracting licence, $2M insurance, intro call, and tells the client to confirm insurance themselves.</t>
  </si>
  <si>
    <t xml:space="preserve">The vetting list is identical on the homepage, PDF Section 10 and the contractor-vetting page, and matches the checks actually performed.</t>
  </si>
  <si>
    <t xml:space="preserve">Homepage promises a rating check the PDF doesn't list, and 'insurance confirmed' conflicts with 'confirm it yourself'.</t>
  </si>
  <si>
    <t xml:space="preserve">A7</t>
  </si>
  <si>
    <t xml:space="preserve">Homepage, /privacy.html, /terms.html</t>
  </si>
  <si>
    <t xml:space="preserve">Use one contact email (homepage and PDF use info@; Privacy and Terms use carl@).</t>
  </si>
  <si>
    <t xml:space="preserve">One email address appears on every page and in the PDF.</t>
  </si>
  <si>
    <t xml:space="preserve">Consistency and entity clarity.</t>
  </si>
  <si>
    <t xml:space="preserve">A8</t>
  </si>
  <si>
    <t xml:space="preserve">Homepage funding section + FAQ</t>
  </si>
  <si>
    <t xml:space="preserve">Reword funding claims. Say the report identifies items that may qualify and that the client still needs contractor quotes or receipts. Remove 'provides the written cost estimates SHARP requires with every application' and 'provides the documentation the CRA requires'.</t>
  </si>
  <si>
    <t xml:space="preserve">Homepage funding section and FAQ no longer claim the report satisfies SHARP or CRA documentation requirements; wording says quotes or receipts are still needed; A17 is complete.</t>
  </si>
  <si>
    <t xml:space="preserve">Alberta.ca says SHARP needs a written cost estimate or receipts. Your own PDF calls its figures planning estimates, not quotes, and your Terms say the report is not a certification for any government program. (CRA receipt requirement is from general knowledge; confirm on canada.ca.)</t>
  </si>
  <si>
    <t xml:space="preserve">A17</t>
  </si>
  <si>
    <t xml:space="preserve">A9</t>
  </si>
  <si>
    <t xml:space="preserve">Homepage About section, sample PDF Section 12</t>
  </si>
  <si>
    <t xml:space="preserve">Describe SHSS accurately as an online course-based credential (17 modules per the issuer's course pages) rather than implying a licence. Avoid 'certified assessor' unless confirmed acceptable to the issuer.</t>
  </si>
  <si>
    <t xml:space="preserve">SHSS is described as a course-based credential everywhere it appears (homepage, PDF, Terms, About).</t>
  </si>
  <si>
    <t xml:space="preserve">Issuer and partner-college pages describe a self-paced online course (about 5 hours per one college partner). Readers who know the credential, such as occupational therapists, are likely to read this language closely.</t>
  </si>
  <si>
    <t xml:space="preserve">A10</t>
  </si>
  <si>
    <t xml:space="preserve">Correct RHFAC wording. Remove 'Canada's leading accessibility rating credential' (no source) and the PDF statement that RHFAC is the basis for applying CSA/ASC B652:23 in a residential setting. Say instead that RHFAC Professional training covers rating the accessibility of buildings and sites, and that B652:23 is used as your reference for residential findings.</t>
  </si>
  <si>
    <t xml:space="preserve">No 'leading credential' or B652-basis claim remains on the homepage, PDF Section 12 or About; the replacement wording is in place.</t>
  </si>
  <si>
    <t xml:space="preserve">RHFAC Professional is an 8-week, roughly 60-hour course plus exam focused on rating buildings and sites, and RHFAC references CSA B651, not B652. No source found for the current claim.</t>
  </si>
  <si>
    <t xml:space="preserve">A11</t>
  </si>
  <si>
    <t xml:space="preserve">Sample PDF Section 12</t>
  </si>
  <si>
    <t xml:space="preserve">Reword 'distributed in Canada through the Canadian Association of Occupational Therapists' so it doesn't read as an endorsement.</t>
  </si>
  <si>
    <t xml:space="preserve">The CAOT wording no longer reads as an endorsement.</t>
  </si>
  <si>
    <t xml:space="preserve">CAOT is one of several channels selling the course; its distributing the course is not an endorsement of your service.</t>
  </si>
  <si>
    <t xml:space="preserve">A12</t>
  </si>
  <si>
    <t xml:space="preserve">Homepage About section, planned /about</t>
  </si>
  <si>
    <t xml:space="preserve">Add verification: credential IDs or issuer verification links (SHSS, RHFAC), insurance amount with certificate on request, WCB status where applicable.</t>
  </si>
  <si>
    <t xml:space="preserve">Each credential has a verification link or ID on the site; insurance amount is stated; certificate is available on request; the documents are on file.</t>
  </si>
  <si>
    <t xml:space="preserve">Claims without verifiable proof are the weakest link for trust and AI citation.</t>
  </si>
  <si>
    <t xml:space="preserve">A13</t>
  </si>
  <si>
    <t xml:space="preserve">Homepage Measurement section + FAQ</t>
  </si>
  <si>
    <t xml:space="preserve">Change 'every specific finding is backed by a number' to 'every dimensional finding'.</t>
  </si>
  <si>
    <t xml:space="preserve">Wording changed on the homepage measurement section and the FAQ.</t>
  </si>
  <si>
    <t xml:space="preserve">The sample report contains many 'none present' findings that have no measurement.</t>
  </si>
  <si>
    <t xml:space="preserve">A14</t>
  </si>
  <si>
    <t xml:space="preserve">/privacy.html</t>
  </si>
  <si>
    <t xml:space="preserve">Update the Privacy policy: (1) cover the quiz and 'email me my result &amp; checklist' capture, including the dementia-diagnosis question and where answers are processed; (2) make the analytics statement match reality (see A16); (3) fix 'LiDAR' once A5 is settled; (4) get a legal review, including Canada's anti-spam law (CASL) for the checklist email.</t>
  </si>
  <si>
    <t xml:space="preserve">Policy covers the quiz and email capture, states analytics accurately, uses the final measuring wording; a lawyer has reviewed it, including anti-spam (CASL) consent.</t>
  </si>
  <si>
    <t xml:space="preserve">Policy says no marketing use and no analytics, but the site collects emails for a checklist. Not legal advice; needs a lawyer.</t>
  </si>
  <si>
    <t xml:space="preserve">A5, A16, G5</t>
  </si>
  <si>
    <t xml:space="preserve">A15</t>
  </si>
  <si>
    <t xml:space="preserve">Homepage</t>
  </si>
  <si>
    <t xml:space="preserve">Add a short 'what this assessment is not' statement (not clinical or OT assessment, not a code inspection, not a contractor quote).</t>
  </si>
  <si>
    <t xml:space="preserve">A scope statement is visible on the homepage and consistent with the Terms.</t>
  </si>
  <si>
    <t xml:space="preserve">Currently only in the PDF and Terms; it should be visible where people decide.</t>
  </si>
  <si>
    <t xml:space="preserve">A16</t>
  </si>
  <si>
    <t xml:space="preserve">Homepage source code</t>
  </si>
  <si>
    <t xml:space="preserve">View page source and confirm whether Google Analytics or Google Ads tags are present. Make the Privacy policy match.</t>
  </si>
  <si>
    <t xml:space="preserve">Page source checked; result recorded in Notes; Privacy policy matches (see A14).</t>
  </si>
  <si>
    <t xml:space="preserve">An outside audit claims GA/Ads tags exist; the Privacy policy says no analytics. One of them is wrong.</t>
  </si>
  <si>
    <t xml:space="preserve">Homepage funding section, sample PDF Section 08</t>
  </si>
  <si>
    <t xml:space="preserve">Verify AADL wording against alberta.ca: homepage says clinical assessment by an OT, PT or RN; PDF says typically OT. Confirm whether the hand-held shower and bath seat the PDF marks as likely AADL-eligible are actually on the benefits list.</t>
  </si>
  <si>
    <t xml:space="preserve">AADL wording checked against alberta.ca; homepage and PDF corrected if needed; result recorded in Notes.</t>
  </si>
  <si>
    <t xml:space="preserve">Not verified live; avoid promising coverage that isn't confirmed.</t>
  </si>
  <si>
    <t xml:space="preserve">B1</t>
  </si>
  <si>
    <t xml:space="preserve">New page: funding guide</t>
  </si>
  <si>
    <t xml:space="preserve">Create the funding guide page (see 'New Pages' sheet, #1).</t>
  </si>
  <si>
    <t xml:space="preserve">Page live; every program figure checked against the official page on the publish date and dated on the page; linked from the homepage; in the sitemap.</t>
  </si>
  <si>
    <t xml:space="preserve">Funding questions are high-intent and citable; currently one section on the homepage.</t>
  </si>
  <si>
    <t xml:space="preserve">A8, A17</t>
  </si>
  <si>
    <t xml:space="preserve">B2</t>
  </si>
  <si>
    <t xml:space="preserve">New page: dementia assessment</t>
  </si>
  <si>
    <t xml:space="preserve">Create the dementia / Alzheimer's home safety page (#2).</t>
  </si>
  <si>
    <t xml:space="preserve">Page live and linked from the homepage; includes the scope statement; in the sitemap.</t>
  </si>
  <si>
    <t xml:space="preserve">Distinct search intent; currently a card and one FAQ answer.</t>
  </si>
  <si>
    <t xml:space="preserve">B3</t>
  </si>
  <si>
    <t xml:space="preserve">New page: fall risk</t>
  </si>
  <si>
    <t xml:space="preserve">Create the fall prevention / fall risk assessment page (#3).</t>
  </si>
  <si>
    <t xml:space="preserve">Page live; every statistic has a named primary source you have checked; linked from the homepage; in the sitemap.</t>
  </si>
  <si>
    <t xml:space="preserve">Core service query.</t>
  </si>
  <si>
    <t xml:space="preserve">E1</t>
  </si>
  <si>
    <t xml:space="preserve">B4</t>
  </si>
  <si>
    <t xml:space="preserve">New page: pricing</t>
  </si>
  <si>
    <t xml:space="preserve">Create the pricing page (#4), matching the corrected Terms.</t>
  </si>
  <si>
    <t xml:space="preserve">Page live; prices, payment, cancellation and travel match the corrected Terms word for word; in the sitemap.</t>
  </si>
  <si>
    <t xml:space="preserve">Pricing is already a strength; give it its own URL.</t>
  </si>
  <si>
    <t xml:space="preserve">A1, A2, A3, A4</t>
  </si>
  <si>
    <t xml:space="preserve">B5</t>
  </si>
  <si>
    <t xml:space="preserve">New page: about</t>
  </si>
  <si>
    <t xml:space="preserve">Create the About / credentials page (#5).</t>
  </si>
  <si>
    <t xml:space="preserve">Page live; credential wording matches A9/A10; verification links and insurance present; in the sitemap.</t>
  </si>
  <si>
    <t xml:space="preserve">Central to expertise and trust.</t>
  </si>
  <si>
    <t xml:space="preserve">A9, A10, A11, A12</t>
  </si>
  <si>
    <t xml:space="preserve">B6</t>
  </si>
  <si>
    <t xml:space="preserve">New page: sample report HTML</t>
  </si>
  <si>
    <t xml:space="preserve">Create an HTML 'what's inside a report' page (#6).</t>
  </si>
  <si>
    <t xml:space="preserve">Page live; figures match the PDF; PDF linked; placeholder contractors labelled; in the sitemap.</t>
  </si>
  <si>
    <t xml:space="preserve">Gives crawlers and AI extractable text instead of relying on the PDF.</t>
  </si>
  <si>
    <t xml:space="preserve">E2, F4</t>
  </si>
  <si>
    <t xml:space="preserve">B7</t>
  </si>
  <si>
    <t xml:space="preserve">New page: home safety vs OT</t>
  </si>
  <si>
    <t xml:space="preserve">Create the 'home safety assessment vs OT assessment' page (#7).</t>
  </si>
  <si>
    <t xml:space="preserve">Page live; Alberta health-system statements checked against official sources; in the sitemap.</t>
  </si>
  <si>
    <t xml:space="preserve">Answers a question families and OTs will ask; not addressed on the homepage.</t>
  </si>
  <si>
    <t xml:space="preserve">A15, A17</t>
  </si>
  <si>
    <t xml:space="preserve">B8</t>
  </si>
  <si>
    <t xml:space="preserve">New page: methodology</t>
  </si>
  <si>
    <t xml:space="preserve">Create the methodology page (#8): 12 categories, 143 checkpoints, ranking formula, B652:23 use.</t>
  </si>
  <si>
    <t xml:space="preserve">Page live; measuring description matches A5; ranking formula and B652:23 use explained; in the sitemap.</t>
  </si>
  <si>
    <t xml:space="preserve">The ranking formula appears only in the PDF and is a real differentiator.</t>
  </si>
  <si>
    <t xml:space="preserve">B9</t>
  </si>
  <si>
    <t xml:space="preserve">New page: service areas</t>
  </si>
  <si>
    <t xml:space="preserve">Create one service-areas page (#9). Do not create a thin page per town.</t>
  </si>
  <si>
    <t xml:space="preserve">One page live; travel terms match Terms; no per-town duplicate pages.</t>
  </si>
  <si>
    <t xml:space="preserve">Thin near-duplicate pages can hurt.</t>
  </si>
  <si>
    <t xml:space="preserve">B10</t>
  </si>
  <si>
    <t xml:space="preserve">New page: contractor vetting</t>
  </si>
  <si>
    <t xml:space="preserve">Create the contractor-vetting page (#10), matching A6.</t>
  </si>
  <si>
    <t xml:space="preserve">Page live; the checks listed match what is actually done (A6); in the sitemap.</t>
  </si>
  <si>
    <t xml:space="preserve">Supports the 'no referral fees' claim.</t>
  </si>
  <si>
    <t xml:space="preserve">B11</t>
  </si>
  <si>
    <t xml:space="preserve">Sitemap + homepage nav</t>
  </si>
  <si>
    <t xml:space="preserve">Add each new page to the sitemap and link to it from the homepage and footer; keep the homepage as the hub.</t>
  </si>
  <si>
    <t xml:space="preserve">Sitemap lists every live page; homepage and footer link to each; sitemap resubmitted in Search Console.</t>
  </si>
  <si>
    <t xml:space="preserve">Internal links show which topics you cover in depth.</t>
  </si>
  <si>
    <t xml:space="preserve">B1, B2, B3, B4, B5, B6, B7, B8, B9, B10</t>
  </si>
  <si>
    <t xml:space="preserve">B12</t>
  </si>
  <si>
    <t xml:space="preserve">Sitewide</t>
  </si>
  <si>
    <t xml:space="preserve">Pick one URL style: redirect /index.html to / (Privacy and Terms link to /index.html).</t>
  </si>
  <si>
    <t xml:space="preserve">/index.html redirects to /; all internal links point to /.</t>
  </si>
  <si>
    <t xml:space="preserve">Avoids duplicate URLs.</t>
  </si>
  <si>
    <t xml:space="preserve">C1</t>
  </si>
  <si>
    <t xml:space="preserve">Rewrite the H1 to include the service and place (e.g. 'Home safety assessments for seniors in Calgary'); keep 'Every risk found. Every fix prioritized.' as a subhead.</t>
  </si>
  <si>
    <t xml:space="preserve">Current H1 is a slogan with no topic or location.</t>
  </si>
  <si>
    <t xml:space="preserve">C2</t>
  </si>
  <si>
    <t xml:space="preserve">Make H2s descriptive (e.g. 'How much does a home safety assessment cost?' instead of 'Two focuses. One process.').</t>
  </si>
  <si>
    <t xml:space="preserve">Clear headings help search engines and AI extract answers.</t>
  </si>
  <si>
    <t xml:space="preserve">C3</t>
  </si>
  <si>
    <t xml:space="preserve">Homepage (top)</t>
  </si>
  <si>
    <t xml:space="preserve">Add an 'at a glance' summary near the top: prices, delivery time, what is included, credentials, service area.</t>
  </si>
  <si>
    <t xml:space="preserve">Gives a quotable block for AI answers.</t>
  </si>
  <si>
    <t xml:space="preserve">A1, A2, A3, A4, A5</t>
  </si>
  <si>
    <t xml:space="preserve">C4</t>
  </si>
  <si>
    <t xml:space="preserve">Homepage &lt;head&gt;</t>
  </si>
  <si>
    <t xml:space="preserve">Shorten the meta description to about 155 characters (currently about 255).</t>
  </si>
  <si>
    <t xml:space="preserve">Truncated in search results.</t>
  </si>
  <si>
    <t xml:space="preserve">C5</t>
  </si>
  <si>
    <t xml:space="preserve">Homepage quiz</t>
  </si>
  <si>
    <t xml:space="preserve">Fix literal '\u2014' characters showing in the quiz confirmation and 'skip ahead' text. Check in a browser.</t>
  </si>
  <si>
    <t xml:space="preserve">Visible encoding bug.</t>
  </si>
  <si>
    <t xml:space="preserve">C6</t>
  </si>
  <si>
    <t xml:space="preserve">Homepage forms</t>
  </si>
  <si>
    <t xml:space="preserve">Stop hidden form-success messages appearing in the page's extracted text (inject on submit instead).</t>
  </si>
  <si>
    <t xml:space="preserve">Crawlers read 'We got your message' as page content.</t>
  </si>
  <si>
    <t xml:space="preserve">C7</t>
  </si>
  <si>
    <t xml:space="preserve">Homepage contact + footer</t>
  </si>
  <si>
    <t xml:space="preserve">Add a phone number (the form asks visitors for theirs, but none is shown to them).</t>
  </si>
  <si>
    <t xml:space="preserve">Trust, seniors' preference for phoning, local-SEO consistency.</t>
  </si>
  <si>
    <t xml:space="preserve">C8</t>
  </si>
  <si>
    <t xml:space="preserve">Add the 143-checkpoint count and the $195 reassessment price (both currently only in the PDF).</t>
  </si>
  <si>
    <t xml:space="preserve">Facts customers ask about.</t>
  </si>
  <si>
    <t xml:space="preserve">C9</t>
  </si>
  <si>
    <t xml:space="preserve">Add a 'last reviewed' date, especially near funding figures.</t>
  </si>
  <si>
    <t xml:space="preserve">Signals freshness.</t>
  </si>
  <si>
    <t xml:space="preserve">C10</t>
  </si>
  <si>
    <t xml:space="preserve">Surface the dementia assessment option more distinctly and link to its new page.</t>
  </si>
  <si>
    <t xml:space="preserve">Currently easy to miss.</t>
  </si>
  <si>
    <t xml:space="preserve">C11</t>
  </si>
  <si>
    <t xml:space="preserve">Homepage About section</t>
  </si>
  <si>
    <t xml:space="preserve">Add a bio photo with credential links (see A12).</t>
  </si>
  <si>
    <t xml:space="preserve">Expertise signal.</t>
  </si>
  <si>
    <t xml:space="preserve">A9, A10, A12</t>
  </si>
  <si>
    <t xml:space="preserve">C12</t>
  </si>
  <si>
    <t xml:space="preserve">Homepage funding heading</t>
  </si>
  <si>
    <t xml:space="preserve">Fix the double space in 'unlock money  that's already available'.</t>
  </si>
  <si>
    <t xml:space="preserve">Typo.</t>
  </si>
  <si>
    <t xml:space="preserve">D1</t>
  </si>
  <si>
    <t xml:space="preserve">Homepage source</t>
  </si>
  <si>
    <t xml:space="preserve">Confirm what JSON-LD exists (an outside audit says LocalBusiness, WebSite, FAQPage; I could not see it). Validate with Google's Rich Results Test.</t>
  </si>
  <si>
    <t xml:space="preserve">Unverified.</t>
  </si>
  <si>
    <t xml:space="preserve">D2</t>
  </si>
  <si>
    <t xml:space="preserve">Homepage JSON-LD</t>
  </si>
  <si>
    <t xml:space="preserve">Use ProfessionalService/LocalBusiness with areaServed and offers (pricing).</t>
  </si>
  <si>
    <t xml:space="preserve">Machine-readable service facts.</t>
  </si>
  <si>
    <t xml:space="preserve">A3, B4</t>
  </si>
  <si>
    <t xml:space="preserve">D3</t>
  </si>
  <si>
    <t xml:space="preserve">About page JSON-LD</t>
  </si>
  <si>
    <t xml:space="preserve">Add Person markup for Carl with credentials.</t>
  </si>
  <si>
    <t xml:space="preserve">Expertise signal; keep matched to A9/A10 wording.</t>
  </si>
  <si>
    <t xml:space="preserve">A9, A10, B5</t>
  </si>
  <si>
    <t xml:space="preserve">D4</t>
  </si>
  <si>
    <t xml:space="preserve">Keep FAQPage markup identical to visible FAQ text after the A1-A3 fixes.</t>
  </si>
  <si>
    <t xml:space="preserve">Mismatched markup is worse than none.</t>
  </si>
  <si>
    <t xml:space="preserve">A1, A2, A3</t>
  </si>
  <si>
    <t xml:space="preserve">D5</t>
  </si>
  <si>
    <t xml:space="preserve">Add sameAs links: Google Business Profile, LinkedIn, Alberta corporate registry entry.</t>
  </si>
  <si>
    <t xml:space="preserve">Ties the brand to a verifiable entity.</t>
  </si>
  <si>
    <t xml:space="preserve">G8</t>
  </si>
  <si>
    <t xml:space="preserve">D6</t>
  </si>
  <si>
    <t xml:space="preserve">Use one consistent entity name and legal name (Novo Industries Inc. operating as Senior Home Safety).</t>
  </si>
  <si>
    <t xml:space="preserve">'Senior Home Safety' is generic and overlaps with the credential name 'Senior Home Safety Specialist'.</t>
  </si>
  <si>
    <t xml:space="preserve">New pages + homepage</t>
  </si>
  <si>
    <t xml:space="preserve">Add cited fall statistics from primary sources (Public Health Agency of Canada, Alberta Health Services, Cochrane reviews on home-hazard modification). Look up and verify each figure before publishing.</t>
  </si>
  <si>
    <t xml:space="preserve">No external research is cited; AI systems favour sourced claims. I did not look these up.</t>
  </si>
  <si>
    <t xml:space="preserve">E2</t>
  </si>
  <si>
    <t xml:space="preserve">Homepage + sample page</t>
  </si>
  <si>
    <t xml:space="preserve">Publish the real sample-home numbers: 112 findings, 41 high priority, 10 that cost nothing.</t>
  </si>
  <si>
    <t xml:space="preserve">Real, quotable data you already have.</t>
  </si>
  <si>
    <t xml:space="preserve">E3</t>
  </si>
  <si>
    <t xml:space="preserve">Homepage + about</t>
  </si>
  <si>
    <t xml:space="preserve">Collect real testimonials or OT/family quotes, with permission.</t>
  </si>
  <si>
    <t xml:space="preserve">No reviews or client proof on the site.</t>
  </si>
  <si>
    <t xml:space="preserve">E4</t>
  </si>
  <si>
    <t xml:space="preserve">About</t>
  </si>
  <si>
    <t xml:space="preserve">Add specifics to Carl's bio: prior career, years in the field, number of assessments.</t>
  </si>
  <si>
    <t xml:space="preserve">Current bio is emotive but generic.</t>
  </si>
  <si>
    <t xml:space="preserve">E5</t>
  </si>
  <si>
    <t xml:space="preserve">Case studies</t>
  </si>
  <si>
    <t xml:space="preserve">Add before/after examples only if real and consented.</t>
  </si>
  <si>
    <t xml:space="preserve">Do not fabricate.</t>
  </si>
  <si>
    <t xml:space="preserve">F1</t>
  </si>
  <si>
    <t xml:space="preserve">SHS_Sample_Report.pdf</t>
  </si>
  <si>
    <t xml:space="preserve">Test the text layer with pdftotext, copy-paste and a screen reader. In my extraction, words ran together (e.g. 'Theorderbelowweighsthreethings').</t>
  </si>
  <si>
    <t xml:space="preserve">May be a tool artifact; if real it hurts indexing, snippets and screen-reader users.</t>
  </si>
  <si>
    <t xml:space="preserve">F2</t>
  </si>
  <si>
    <t xml:space="preserve">If F1 confirms the problem, regenerate the PDF with proper text spacing, tagging, document title and language.</t>
  </si>
  <si>
    <t xml:space="preserve">Accessibility and extractability.</t>
  </si>
  <si>
    <t xml:space="preserve">F3</t>
  </si>
  <si>
    <t xml:space="preserve">Link the PDF with descriptive anchor text and add file size/type.</t>
  </si>
  <si>
    <t xml:space="preserve">Better than a bare 'Download Sample Report'.</t>
  </si>
  <si>
    <t xml:space="preserve">F4</t>
  </si>
  <si>
    <t xml:space="preserve">Homepage sample section</t>
  </si>
  <si>
    <t xml:space="preserve">Label the contractor names as placeholders on the homepage too (the PDF already says they are invented).</t>
  </si>
  <si>
    <t xml:space="preserve">Prevents them being read as real businesses.</t>
  </si>
  <si>
    <t xml:space="preserve">G1</t>
  </si>
  <si>
    <t xml:space="preserve">robots.txt, hosting/CDN</t>
  </si>
  <si>
    <t xml:space="preserve">Verify robots.txt and CDN/host bot settings; decide deliberately about search bots (Googlebot, Bingbot, OAI-SearchBot, PerplexityBot) vs training bots (GPTBot, Google-Extended, ClaudeBot).</t>
  </si>
  <si>
    <t xml:space="preserve">Not verified by me; some CDNs and hosts offer AI-crawler blocking, and it may be switched on by default.</t>
  </si>
  <si>
    <t xml:space="preserve">G2</t>
  </si>
  <si>
    <t xml:space="preserve">sitemap.xml</t>
  </si>
  <si>
    <t xml:space="preserve">Verify the sitemap lists all live pages and is referenced in robots.txt; resubmit after new pages launch.</t>
  </si>
  <si>
    <t xml:space="preserve">Not verified by me.</t>
  </si>
  <si>
    <t xml:space="preserve">G3</t>
  </si>
  <si>
    <t xml:space="preserve">Google Search Console</t>
  </si>
  <si>
    <t xml:space="preserve">Set up Search Console: index coverage, queries, canonical selection, Core Web Vitals.</t>
  </si>
  <si>
    <t xml:space="preserve">No data currently.</t>
  </si>
  <si>
    <t xml:space="preserve">G4</t>
  </si>
  <si>
    <t xml:space="preserve">Bing Webmaster Tools</t>
  </si>
  <si>
    <t xml:space="preserve">Set up Bing Webmaster Tools.</t>
  </si>
  <si>
    <t xml:space="preserve">Bing feeds several AI assistants.</t>
  </si>
  <si>
    <t xml:space="preserve">G5</t>
  </si>
  <si>
    <t xml:space="preserve">Analytics</t>
  </si>
  <si>
    <t xml:space="preserve">Choose analytics consistent with the privacy policy (or update the policy).</t>
  </si>
  <si>
    <t xml:space="preserve">Cannot measure traffic or conversions otherwise.</t>
  </si>
  <si>
    <t xml:space="preserve">G6</t>
  </si>
  <si>
    <t xml:space="preserve">/privacy.html, /terms.html</t>
  </si>
  <si>
    <t xml:space="preserve">Add meta descriptions and canonical tags.</t>
  </si>
  <si>
    <t xml:space="preserve">Currently missing from what I fetched.</t>
  </si>
  <si>
    <t xml:space="preserve">G7</t>
  </si>
  <si>
    <t xml:space="preserve">Check page speed, mobile rendering, image sizes, redirects (http/https, www/non-www) and colour contrast for the cream/terracotta palette.</t>
  </si>
  <si>
    <t xml:space="preserve">Not tested.</t>
  </si>
  <si>
    <t xml:space="preserve">Google Business Profile</t>
  </si>
  <si>
    <t xml:space="preserve">Create or verify a Google Business Profile with consistent name, phone and service area.</t>
  </si>
  <si>
    <t xml:space="preserve">Local search presence.</t>
  </si>
  <si>
    <t xml:space="preserve">G9</t>
  </si>
  <si>
    <t xml:space="preserve">AI tools</t>
  </si>
  <si>
    <t xml:space="preserve">Run 20-30 real customer queries in ChatGPT, Perplexity, Gemini, Google AI Overviews and Claude; log whether the site is cited. Repeat quarterly.</t>
  </si>
  <si>
    <t xml:space="preserve">Measures actual AI visibility.</t>
  </si>
  <si>
    <t xml:space="preserve">G10</t>
  </si>
  <si>
    <t xml:space="preserve">Backlinks</t>
  </si>
  <si>
    <t xml:space="preserve">Review the backlink profile (Ahrefs, Semrush or Bing).</t>
  </si>
  <si>
    <t xml:space="preserve">Not checked.</t>
  </si>
  <si>
    <t xml:space="preserve">G11</t>
  </si>
  <si>
    <t xml:space="preserve">Confirm the Open Graph image (family_moment.jpg) loads and is sized for social sharing.</t>
  </si>
  <si>
    <t xml:space="preserve">Raised by an outside audit; not verified.</t>
  </si>
  <si>
    <t xml:space="preserve">Homepage / FAQ vs Terms, Privacy and sample PDF</t>
  </si>
  <si>
    <t xml:space="preserve">Decide the final wording in the yellow column, then make every location match. 'Checklist IDs' points to the items that carry out the change; track progress there, not here.</t>
  </si>
  <si>
    <t xml:space="preserve">Topic</t>
  </si>
  <si>
    <t xml:space="preserve">Homepage / FAQ says</t>
  </si>
  <si>
    <t xml:space="preserve">Terms, Privacy or sample PDF says</t>
  </si>
  <si>
    <t xml:space="preserve">Source of truth</t>
  </si>
  <si>
    <t xml:space="preserve">Checklist IDs</t>
  </si>
  <si>
    <t xml:space="preserve">Final wording to use</t>
  </si>
  <si>
    <t xml:space="preserve">Payment</t>
  </si>
  <si>
    <t xml:space="preserve">In full by Interac e-Transfer when you book; nothing billed after the visit.</t>
  </si>
  <si>
    <t xml:space="preserve">Terms: due on delivery of the report; e-transfer, credit card or cheque.</t>
  </si>
  <si>
    <t xml:space="preserve">Terms (legal document); other pages mirror it</t>
  </si>
  <si>
    <t xml:space="preserve">Cancellation</t>
  </si>
  <si>
    <t xml:space="preserve">Free up to 24 h before; under 24 h, 20% of fee plus GST kept.</t>
  </si>
  <si>
    <t xml:space="preserve">Terms: free with over 48 h notice; under 48 h, 50% of fee.</t>
  </si>
  <si>
    <t xml:space="preserve">No-show</t>
  </si>
  <si>
    <t xml:space="preserve">20% of fee plus GST kept.</t>
  </si>
  <si>
    <t xml:space="preserve">Terms: full fee applies.</t>
  </si>
  <si>
    <t xml:space="preserve">Travel / service area</t>
  </si>
  <si>
    <t xml:space="preserve">Flat pricing within 50 km of Calgary centre; lists Airdrie, Cochrane, Chestermere, Okotoks and others as standard.</t>
  </si>
  <si>
    <t xml:space="preserve">Terms: travel supplement may apply outside Calgary city limits.</t>
  </si>
  <si>
    <t xml:space="preserve">Terms; pricing page mirrors it</t>
  </si>
  <si>
    <t xml:space="preserve">A3, B9</t>
  </si>
  <si>
    <t xml:space="preserve">Visit length</t>
  </si>
  <si>
    <t xml:space="preserve">About 1.5 h for a condo, up to 3 h for a large home.</t>
  </si>
  <si>
    <t xml:space="preserve">Terms: most visits two to three hours. Sample report: 125 minutes on site.</t>
  </si>
  <si>
    <t xml:space="preserve">Your actual visit times</t>
  </si>
  <si>
    <t xml:space="preserve">Measuring equipment</t>
  </si>
  <si>
    <t xml:space="preserve">Professional laser distance measurer, ±1.5 mm.</t>
  </si>
  <si>
    <t xml:space="preserve">Sample PDF: measuring tape to the nearest millimetre and a calibrated light meter. Privacy: LiDAR measurements and floor plan data.</t>
  </si>
  <si>
    <t xml:space="preserve">What is actually used on visits</t>
  </si>
  <si>
    <t xml:space="preserve">A5, A14</t>
  </si>
  <si>
    <t xml:space="preserve">Contractor vetting</t>
  </si>
  <si>
    <t xml:space="preserve">Registration, WCB, $2M insurance confirmed, 4.5+ Google rating (10+ reviews), intro call.</t>
  </si>
  <si>
    <t xml:space="preserve">PDF: registration, WCB, prepaid contracting licence, $2M insurance, intro call; Section 10 tells the client to confirm insurance themselves.</t>
  </si>
  <si>
    <t xml:space="preserve">The checks actually performed</t>
  </si>
  <si>
    <t xml:space="preserve">A6, B10</t>
  </si>
  <si>
    <t xml:space="preserve">Contact email</t>
  </si>
  <si>
    <t xml:space="preserve">info@novoseniorsafety.com</t>
  </si>
  <si>
    <t xml:space="preserve">Privacy and Terms: carl@novoseniorsafety.com</t>
  </si>
  <si>
    <t xml:space="preserve">Owner decision</t>
  </si>
  <si>
    <t xml:space="preserve">Funding paperwork</t>
  </si>
  <si>
    <t xml:space="preserve">Report provides the estimates SHARP requires and the documentation CRA requires.</t>
  </si>
  <si>
    <t xml:space="preserve">PDF: figures are planning estimates, not quotes. Terms: report is not a certification for any government program. Alberta.ca: SHARP needs a written estimate or receipts.</t>
  </si>
  <si>
    <t xml:space="preserve">alberta.ca / canada.ca for program rules; Terms for what the report is</t>
  </si>
  <si>
    <t xml:space="preserve">A8, A17, B1</t>
  </si>
  <si>
    <t xml:space="preserve">(An outside audit says Google Analytics/Ads tags are present; unverified.)</t>
  </si>
  <si>
    <t xml:space="preserve">Privacy: no cookies, tracking pixels or analytics; no Google Analytics.</t>
  </si>
  <si>
    <t xml:space="preserve">Actual page source</t>
  </si>
  <si>
    <t xml:space="preserve">A16, A14, G5</t>
  </si>
  <si>
    <t xml:space="preserve">Planned new pages, in priority order</t>
  </si>
  <si>
    <t xml:space="preserve">Suggested URLs are proposals. Each page needs substantial original content; avoid thin or near-duplicate pages. Track status on the Checklist (IDs in column G), not here.</t>
  </si>
  <si>
    <t xml:space="preserve">Order</t>
  </si>
  <si>
    <t xml:space="preserve">Page</t>
  </si>
  <si>
    <t xml:space="preserve">Suggested URL</t>
  </si>
  <si>
    <t xml:space="preserve">Search intent it answers</t>
  </si>
  <si>
    <t xml:space="preserve">Content to include</t>
  </si>
  <si>
    <t xml:space="preserve">Caveats</t>
  </si>
  <si>
    <t xml:space="preserve">Checklist ID</t>
  </si>
  <si>
    <t xml:space="preserve">Funding guide</t>
  </si>
  <si>
    <t xml:space="preserve">/home-modification-funding-alberta</t>
  </si>
  <si>
    <t xml:space="preserve">SHARP Alberta; home accessibility tax credit; AADL; how to pay for home modifications</t>
  </si>
  <si>
    <t xml:space="preserve">Eligibility per program (SHARP: 65+, income $75,000 or less, 25% equity kept, loan max $40,000, grant income thresholds); what your report does and does not supply; primary-source links; 'verified on' date. Check whether RAMP (listed as related on the SHARP page) belongs here.</t>
  </si>
  <si>
    <t xml:space="preserve">Verify every figure live before publishing; program rules change.</t>
  </si>
  <si>
    <t xml:space="preserve">Dementia / Alzheimer's home safety</t>
  </si>
  <si>
    <t xml:space="preserve">/alzheimers-dementia-home-safety-assessment</t>
  </si>
  <si>
    <t xml:space="preserve">Dementia home safety Calgary; wandering; stove safety</t>
  </si>
  <si>
    <t xml:space="preserve">Wandering and exit security, wayfinding, medication storage, kitchen hazards, what the assessment covers, example findings from the sample report, link to sample.</t>
  </si>
  <si>
    <t xml:space="preserve">Not a clinical assessment; keep the scope statement.</t>
  </si>
  <si>
    <t xml:space="preserve">Fall prevention / fall risk</t>
  </si>
  <si>
    <t xml:space="preserve">/fall-risk-assessment-calgary</t>
  </si>
  <si>
    <t xml:space="preserve">Fall risk assessment Calgary seniors; home hazards</t>
  </si>
  <si>
    <t xml:space="preserve">Common hazards by room, why measurements matter, how findings are prioritised, cited statistics.</t>
  </si>
  <si>
    <t xml:space="preserve">Verify and cite all statistics (E1).</t>
  </si>
  <si>
    <t xml:space="preserve">Pricing</t>
  </si>
  <si>
    <t xml:space="preserve">/pricing</t>
  </si>
  <si>
    <t xml:space="preserve">Home safety assessment cost Calgary</t>
  </si>
  <si>
    <t xml:space="preserve">Prices by home size, what is included, $195 reassessment, booking, payment and cancellation exactly as in the corrected Terms, service area.</t>
  </si>
  <si>
    <t xml:space="preserve">Must match Terms (see Conflicts sheet).</t>
  </si>
  <si>
    <t xml:space="preserve">About / credentials</t>
  </si>
  <si>
    <t xml:space="preserve">/about</t>
  </si>
  <si>
    <t xml:space="preserve">Who is Carl Christie; is this assessor qualified</t>
  </si>
  <si>
    <t xml:space="preserve">Background, SHSS and RHFAC described accurately with verification links, insurance, method, photo.</t>
  </si>
  <si>
    <t xml:space="preserve">Wording per A9, A10, A12.</t>
  </si>
  <si>
    <t xml:space="preserve">Sample report (HTML)</t>
  </si>
  <si>
    <t xml:space="preserve">/sample-report</t>
  </si>
  <si>
    <t xml:space="preserve">What is in a home safety report</t>
  </si>
  <si>
    <t xml:space="preserve">Key numbers (112 findings, 41 high priority), how findings are formatted, phased plan, PDF download link.</t>
  </si>
  <si>
    <t xml:space="preserve">Label placeholder contractor names.</t>
  </si>
  <si>
    <t xml:space="preserve">Home safety assessment vs OT assessment</t>
  </si>
  <si>
    <t xml:space="preserve">/home-safety-assessment-vs-occupational-therapy</t>
  </si>
  <si>
    <t xml:space="preserve">Do I need an OT or a home safety assessment</t>
  </si>
  <si>
    <t xml:space="preserve">Differences, how they complement each other, AADL role of OTs, when to involve an OT.</t>
  </si>
  <si>
    <t xml:space="preserve">Verify Alberta health-system details before publishing.</t>
  </si>
  <si>
    <t xml:space="preserve">Methodology</t>
  </si>
  <si>
    <t xml:space="preserve">/methodology</t>
  </si>
  <si>
    <t xml:space="preserve">How are home safety findings prioritised</t>
  </si>
  <si>
    <t xml:space="preserve">12 categories, 143 checkpoints, ranking formula (checkpoint weight x severity divided by square root of cost), measurement, how CSA/ASC B652:23 is used and its limits.</t>
  </si>
  <si>
    <t xml:space="preserve">Must match A5 measuring wording.</t>
  </si>
  <si>
    <t xml:space="preserve">Service areas</t>
  </si>
  <si>
    <t xml:space="preserve">/service-areas</t>
  </si>
  <si>
    <t xml:space="preserve">Home safety assessment Airdrie, Cochrane, Okotoks</t>
  </si>
  <si>
    <t xml:space="preserve">Communities served, travel terms, how to confirm availability.</t>
  </si>
  <si>
    <t xml:space="preserve">One page only; no doorway pages.</t>
  </si>
  <si>
    <t xml:space="preserve">How we vet contractors</t>
  </si>
  <si>
    <t xml:space="preserve">/how-we-vet-contractors</t>
  </si>
  <si>
    <t xml:space="preserve">Trusted contractors for senior home modifications</t>
  </si>
  <si>
    <t xml:space="preserve">The checks you actually perform, no referral fees or commissions, how contractors are matched.</t>
  </si>
  <si>
    <t xml:space="preserve">Must match A6.</t>
  </si>
  <si>
    <t xml:space="preserve">What was verified, what wasn't, and data still needed</t>
  </si>
  <si>
    <t xml:space="preserve">Enter a date in the yellow column whenever you (re)check an item. Funding figures and program rules change, so re-check them before publishing.</t>
  </si>
  <si>
    <t xml:space="preserve">Area</t>
  </si>
  <si>
    <t xml:space="preserve">Item</t>
  </si>
  <si>
    <t xml:space="preserve">Basis / how to check</t>
  </si>
  <si>
    <t xml:space="preserve">Date checked</t>
  </si>
  <si>
    <t xml:space="preserve">Crawl/access</t>
  </si>
  <si>
    <t xml:space="preserve">Homepage text is in the HTML (FAQ, pricing included)</t>
  </si>
  <si>
    <t xml:space="preserve">Verified</t>
  </si>
  <si>
    <t xml:space="preserve">Fetched homepage; content returned as text.</t>
  </si>
  <si>
    <t xml:space="preserve">Title, canonical, robots meta (index, follow), Open Graph/Twitter tags, image alt text</t>
  </si>
  <si>
    <t xml:space="preserve">Homepage metadata as fetched.</t>
  </si>
  <si>
    <t xml:space="preserve">Facts</t>
  </si>
  <si>
    <t xml:space="preserve">SHARP figures in the sample PDF match Alberta.ca (loan max $40,000, income $75,000 or less, 25% equity, grant thresholds)</t>
  </si>
  <si>
    <t xml:space="preserve">Alberta.ca SHARP page, fetched 19 Sep 2026. The homepage itself states no figures.</t>
  </si>
  <si>
    <t xml:space="preserve">CSA/ASC B652:23 exists and applies to new homes and alterations</t>
  </si>
  <si>
    <t xml:space="preserve">CSA Group / SCC listings.</t>
  </si>
  <si>
    <t xml:space="preserve">Credentials</t>
  </si>
  <si>
    <t xml:space="preserve">SHSS is an Age Safe online course (17 modules; about 5 hours per one college partner)</t>
  </si>
  <si>
    <t xml:space="preserve">Verified (issuer/partner pages)</t>
  </si>
  <si>
    <t xml:space="preserve">CAOT, Age Safe Canada, NACC, Mohawk pages.</t>
  </si>
  <si>
    <t xml:space="preserve">RHFAC Professional is an 8-week, roughly 60-hour course plus exam for rating buildings and sites; RHFAC references CSA B651</t>
  </si>
  <si>
    <t xml:space="preserve">Verified (issuer/provider pages)</t>
  </si>
  <si>
    <t xml:space="preserve">Rick Hansen Foundation, NSCC, AET pages.</t>
  </si>
  <si>
    <t xml:space="preserve">Carl Christie's personal credentials, insurance and WCB status</t>
  </si>
  <si>
    <t xml:space="preserve">Not verified</t>
  </si>
  <si>
    <t xml:space="preserve">No public directory or certificate found; request documents.</t>
  </si>
  <si>
    <t xml:space="preserve">robots.txt</t>
  </si>
  <si>
    <t xml:space="preserve">Fetch tool could not open it. Open it yourself and check bot rules.</t>
  </si>
  <si>
    <t xml:space="preserve">An outside audit says it lists three pages; unconfirmed.</t>
  </si>
  <si>
    <t xml:space="preserve">llms.txt</t>
  </si>
  <si>
    <t xml:space="preserve">Optional; low priority.</t>
  </si>
  <si>
    <t xml:space="preserve">Structured data</t>
  </si>
  <si>
    <t xml:space="preserve">JSON-LD (LocalBusiness, WebSite, FAQPage per outside audit)</t>
  </si>
  <si>
    <t xml:space="preserve">Scripts stripped from my extraction; use the Rich Results Test page.</t>
  </si>
  <si>
    <t xml:space="preserve">Privacy</t>
  </si>
  <si>
    <t xml:space="preserve">Google Analytics / Ads tags</t>
  </si>
  <si>
    <t xml:space="preserve">Conflicting</t>
  </si>
  <si>
    <t xml:space="preserve">Outside audit says present; Privacy policy says none. View page source.</t>
  </si>
  <si>
    <t xml:space="preserve">Technical</t>
  </si>
  <si>
    <t xml:space="preserve">Page speed, mobile rendering, redirects, colour contrast</t>
  </si>
  <si>
    <t xml:space="preserve">Not tested</t>
  </si>
  <si>
    <t xml:space="preserve">Run Lighthouse / PageSpeed Insights.</t>
  </si>
  <si>
    <t xml:space="preserve">Search presence</t>
  </si>
  <si>
    <t xml:space="preserve">Indexing status, rankings, backlinks, Google Business Profile</t>
  </si>
  <si>
    <t xml:space="preserve">Needs data</t>
  </si>
  <si>
    <t xml:space="preserve">Search Console, Bing Webmaster, backlink tool. One search for the brand/domain returned none of your pages (weak evidence).</t>
  </si>
  <si>
    <t xml:space="preserve">Funding</t>
  </si>
  <si>
    <t xml:space="preserve">AADL, HATC, MHRTC current rules and figures</t>
  </si>
  <si>
    <t xml:space="preserve">Not re-verified live</t>
  </si>
  <si>
    <t xml:space="preserve">Consistent with prior knowledge; check alberta.ca and canada.ca.</t>
  </si>
  <si>
    <t xml:space="preserve">Sample PDF</t>
  </si>
  <si>
    <t xml:space="preserve">Text layer quality (words ran together in my extraction)</t>
  </si>
  <si>
    <t xml:space="preserve">Needs testing</t>
  </si>
  <si>
    <t xml:space="preserve">pdftotext, copy-paste, screen reader.</t>
  </si>
  <si>
    <t xml:space="preserve">Data needed</t>
  </si>
  <si>
    <t xml:space="preserve">AI-citation test with 20-30 real queries across ChatGPT, Perplexity, Gemini, AI Overviews, Claude</t>
  </si>
  <si>
    <t xml:space="preserve">Manual logging; do a baseline before edits, then repeat quarterly.</t>
  </si>
  <si>
    <t xml:space="preserve">Real customer questions (call notes, form messages, OT/family questions)</t>
  </si>
  <si>
    <t xml:space="preserve">Prioritise new-page topics.</t>
  </si>
  <si>
    <t xml:space="preserve">Current booking terms actually in use</t>
  </si>
  <si>
    <t xml:space="preserve">Decides which side of the Conflicts sheet is correct.</t>
  </si>
  <si>
    <t xml:space="preserve">Server logs for AI/search bot visits</t>
  </si>
  <si>
    <t xml:space="preserve">Host or CDN dashboard.</t>
  </si>
  <si>
    <t xml:space="preserve">Assumption</t>
  </si>
  <si>
    <t xml:space="preserve">Business launched in 2026 (Terms/Privacy dated 1 May 2026; sample dated 14 Sep 2026)</t>
  </si>
  <si>
    <t xml:space="preserve">Assumed</t>
  </si>
  <si>
    <t xml:space="preserve">Explains the lack of reviews and links.</t>
  </si>
  <si>
    <t xml:space="preserve">Static hosting with Formspree handling the contact form</t>
  </si>
  <si>
    <t xml:space="preserve">Inferred from the Privacy policy.</t>
  </si>
  <si>
    <t xml:space="preserve">Sample report v3.1 is current and representative</t>
  </si>
  <si>
    <t xml:space="preserve">Stated on the sample itself.</t>
  </si>
</sst>
</file>

<file path=xl/styles.xml><?xml version="1.0" encoding="utf-8"?>
<styleSheet xmlns="http://schemas.openxmlformats.org/spreadsheetml/2006/main">
  <numFmts count="3">
    <numFmt numFmtId="164" formatCode="General"/>
    <numFmt numFmtId="165" formatCode="dd\ mmm\ yyyy"/>
    <numFmt numFmtId="166" formatCode="0.0%"/>
  </numFmts>
  <fonts count="10">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i val="true"/>
      <sz val="10"/>
      <color rgb="FF595959"/>
      <name val="Arial"/>
      <family val="0"/>
      <charset val="1"/>
    </font>
    <font>
      <b val="true"/>
      <sz val="10"/>
      <color rgb="FF000000"/>
      <name val="Arial"/>
      <family val="0"/>
      <charset val="1"/>
    </font>
    <font>
      <sz val="10"/>
      <color rgb="FF000000"/>
      <name val="Arial"/>
      <family val="0"/>
      <charset val="1"/>
    </font>
    <font>
      <b val="true"/>
      <sz val="10"/>
      <color rgb="FFFFFFFF"/>
      <name val="Arial"/>
      <family val="0"/>
      <charset val="1"/>
    </font>
    <font>
      <sz val="10"/>
      <color rgb="FF595959"/>
      <name val="Arial"/>
      <family val="0"/>
      <charset val="1"/>
    </font>
  </fonts>
  <fills count="4">
    <fill>
      <patternFill patternType="none"/>
    </fill>
    <fill>
      <patternFill patternType="gray125"/>
    </fill>
    <fill>
      <patternFill patternType="solid">
        <fgColor rgb="FFFFF9C4"/>
        <bgColor rgb="FFFFFFFF"/>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5" fontId="7" fillId="2"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7" fillId="2"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6E0B4"/>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FFF9C4"/>
          <bgColor rgb="FF000000"/>
        </patternFill>
      </fill>
    </dxf>
    <dxf>
      <fill>
        <patternFill>
          <bgColor rgb="FFF8CBAD"/>
        </patternFill>
      </fill>
    </dxf>
    <dxf>
      <fill>
        <patternFill>
          <bgColor rgb="FFFFE699"/>
        </patternFill>
      </fill>
    </dxf>
    <dxf>
      <fill>
        <patternFill>
          <bgColor rgb="FFC6E0B4"/>
        </patternFill>
      </fill>
    </dxf>
    <dxf>
      <fill>
        <patternFill>
          <bgColor rgb="FFBDD7E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9C4"/>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4" min="2" style="0" width="13"/>
    <col collapsed="false" customWidth="true" hidden="false" outlineLevel="0" max="5" min="5" style="0" width="8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c r="B3" s="4" t="n">
        <v>46284</v>
      </c>
    </row>
    <row r="5" customFormat="false" ht="15" hidden="false" customHeight="false" outlineLevel="0" collapsed="false">
      <c r="A5" s="5" t="s">
        <v>3</v>
      </c>
      <c r="B5" s="5" t="s">
        <v>4</v>
      </c>
    </row>
    <row r="6" customFormat="false" ht="15" hidden="false" customHeight="false" outlineLevel="0" collapsed="false">
      <c r="A6" s="6" t="s">
        <v>5</v>
      </c>
      <c r="B6" s="6" t="n">
        <f aca="false">COUNTIF(Checklist!$L$7:$L$73,A6)</f>
        <v>67</v>
      </c>
    </row>
    <row r="7" customFormat="false" ht="15" hidden="false" customHeight="false" outlineLevel="0" collapsed="false">
      <c r="A7" s="6" t="s">
        <v>6</v>
      </c>
      <c r="B7" s="6" t="n">
        <f aca="false">COUNTIF(Checklist!$L$7:$L$73,A7)</f>
        <v>0</v>
      </c>
    </row>
    <row r="8" customFormat="false" ht="15" hidden="false" customHeight="false" outlineLevel="0" collapsed="false">
      <c r="A8" s="6" t="s">
        <v>7</v>
      </c>
      <c r="B8" s="6" t="n">
        <f aca="false">COUNTIF(Checklist!$L$7:$L$73,A8)</f>
        <v>0</v>
      </c>
    </row>
    <row r="9" customFormat="false" ht="15" hidden="false" customHeight="false" outlineLevel="0" collapsed="false">
      <c r="A9" s="6" t="s">
        <v>8</v>
      </c>
      <c r="B9" s="6" t="n">
        <f aca="false">COUNTIF(Checklist!$L$7:$L$73,A9)</f>
        <v>0</v>
      </c>
    </row>
    <row r="10" customFormat="false" ht="15" hidden="false" customHeight="false" outlineLevel="0" collapsed="false">
      <c r="A10" s="7" t="s">
        <v>9</v>
      </c>
      <c r="B10" s="7" t="n">
        <f aca="false">SUM(B6:B9)</f>
        <v>67</v>
      </c>
    </row>
    <row r="11" customFormat="false" ht="15" hidden="false" customHeight="false" outlineLevel="0" collapsed="false">
      <c r="A11" s="7" t="s">
        <v>10</v>
      </c>
      <c r="B11" s="8" t="n">
        <f aca="false">IF(B10=0,0,B9/B10)</f>
        <v>0</v>
      </c>
    </row>
    <row r="13" customFormat="false" ht="15" hidden="false" customHeight="false" outlineLevel="0" collapsed="false">
      <c r="A13" s="5" t="s">
        <v>11</v>
      </c>
      <c r="B13" s="5" t="s">
        <v>4</v>
      </c>
    </row>
    <row r="14" customFormat="false" ht="15" hidden="false" customHeight="false" outlineLevel="0" collapsed="false">
      <c r="A14" s="6" t="s">
        <v>12</v>
      </c>
      <c r="B14" s="6" t="n">
        <f aca="false">SUMPRODUCT((Checklist!$J$7:$J$73="")*(Checklist!$L$7:$L$73&lt;&gt;"Done"))</f>
        <v>67</v>
      </c>
    </row>
    <row r="15" customFormat="false" ht="15" hidden="false" customHeight="false" outlineLevel="0" collapsed="false">
      <c r="A15" s="6" t="s">
        <v>13</v>
      </c>
      <c r="B15" s="6" t="n">
        <f aca="false">SUMPRODUCT((Checklist!$J$7:$J$73="")*(Checklist!$L$7:$L$73&lt;&gt;"Done")*(Checklist!$B$7:$B$73="High"))</f>
        <v>27</v>
      </c>
    </row>
    <row r="16" customFormat="false" ht="15" hidden="false" customHeight="false" outlineLevel="0" collapsed="false">
      <c r="A16" s="6" t="s">
        <v>14</v>
      </c>
      <c r="B16" s="6" t="n">
        <f aca="true">SUMPRODUCT((Checklist!$K$7:$K$73&lt;&gt;"")*(Checklist!$K$7:$K$73&lt;TODAY())*(Checklist!$L$7:$L$73&lt;&gt;"Done"))</f>
        <v>0</v>
      </c>
    </row>
    <row r="17" customFormat="false" ht="15" hidden="false" customHeight="false" outlineLevel="0" collapsed="false">
      <c r="A17" s="6" t="s">
        <v>15</v>
      </c>
      <c r="B17" s="6" t="n">
        <f aca="false">COUNTIF(Checklist!$L$7:$L$73,"Blocked")</f>
        <v>0</v>
      </c>
    </row>
    <row r="19" customFormat="false" ht="15" hidden="false" customHeight="false" outlineLevel="0" collapsed="false">
      <c r="A19" s="5" t="s">
        <v>16</v>
      </c>
      <c r="B19" s="5" t="s">
        <v>4</v>
      </c>
      <c r="C19" s="5" t="s">
        <v>8</v>
      </c>
      <c r="D19" s="5" t="s">
        <v>10</v>
      </c>
    </row>
    <row r="20" customFormat="false" ht="15" hidden="false" customHeight="false" outlineLevel="0" collapsed="false">
      <c r="A20" s="6" t="s">
        <v>17</v>
      </c>
      <c r="B20" s="6" t="n">
        <f aca="false">COUNTIF(Checklist!$B$7:$B$73,A20)</f>
        <v>27</v>
      </c>
      <c r="C20" s="6" t="n">
        <f aca="false">COUNTIFS(Checklist!$B$7:$B$73,A20,Checklist!$L$7:$L$73,"Done")</f>
        <v>0</v>
      </c>
      <c r="D20" s="9" t="n">
        <f aca="false">IF(B20=0,0,C20/B20)</f>
        <v>0</v>
      </c>
    </row>
    <row r="21" customFormat="false" ht="15" hidden="false" customHeight="false" outlineLevel="0" collapsed="false">
      <c r="A21" s="6" t="s">
        <v>18</v>
      </c>
      <c r="B21" s="6" t="n">
        <f aca="false">COUNTIF(Checklist!$B$7:$B$73,A21)</f>
        <v>30</v>
      </c>
      <c r="C21" s="6" t="n">
        <f aca="false">COUNTIFS(Checklist!$B$7:$B$73,A21,Checklist!$L$7:$L$73,"Done")</f>
        <v>0</v>
      </c>
      <c r="D21" s="9" t="n">
        <f aca="false">IF(B21=0,0,C21/B21)</f>
        <v>0</v>
      </c>
    </row>
    <row r="22" customFormat="false" ht="15" hidden="false" customHeight="false" outlineLevel="0" collapsed="false">
      <c r="A22" s="6" t="s">
        <v>19</v>
      </c>
      <c r="B22" s="6" t="n">
        <f aca="false">COUNTIF(Checklist!$B$7:$B$73,A22)</f>
        <v>10</v>
      </c>
      <c r="C22" s="6" t="n">
        <f aca="false">COUNTIFS(Checklist!$B$7:$B$73,A22,Checklist!$L$7:$L$73,"Done")</f>
        <v>0</v>
      </c>
      <c r="D22" s="9" t="n">
        <f aca="false">IF(B22=0,0,C22/B22)</f>
        <v>0</v>
      </c>
    </row>
    <row r="25" customFormat="false" ht="15" hidden="false" customHeight="false" outlineLevel="0" collapsed="false">
      <c r="A25" s="5" t="s">
        <v>20</v>
      </c>
      <c r="B25" s="5" t="s">
        <v>4</v>
      </c>
      <c r="C25" s="5" t="s">
        <v>8</v>
      </c>
      <c r="D25" s="5" t="s">
        <v>10</v>
      </c>
      <c r="E25" s="5" t="s">
        <v>21</v>
      </c>
    </row>
    <row r="26" customFormat="false" ht="23.85" hidden="false" customHeight="false" outlineLevel="0" collapsed="false">
      <c r="A26" s="10" t="s">
        <v>22</v>
      </c>
      <c r="B26" s="6" t="n">
        <f aca="false">COUNTIF(Checklist!$C$7:$C$73,A26)</f>
        <v>13</v>
      </c>
      <c r="C26" s="6" t="n">
        <f aca="false">COUNTIFS(Checklist!$C$7:$C$73,A26,Checklist!$L$7:$L$73,"Done")</f>
        <v>0</v>
      </c>
      <c r="D26" s="9" t="n">
        <f aca="false">IF(B26=0,0,C26/B26)</f>
        <v>0</v>
      </c>
      <c r="E26" s="10" t="s">
        <v>23</v>
      </c>
    </row>
    <row r="27" customFormat="false" ht="23.85" hidden="false" customHeight="false" outlineLevel="0" collapsed="false">
      <c r="A27" s="10" t="s">
        <v>24</v>
      </c>
      <c r="B27" s="6" t="n">
        <f aca="false">COUNTIF(Checklist!$C$7:$C$73,A27)</f>
        <v>16</v>
      </c>
      <c r="C27" s="6" t="n">
        <f aca="false">COUNTIFS(Checklist!$C$7:$C$73,A27,Checklist!$L$7:$L$73,"Done")</f>
        <v>0</v>
      </c>
      <c r="D27" s="9" t="n">
        <f aca="false">IF(B27=0,0,C27/B27)</f>
        <v>0</v>
      </c>
      <c r="E27" s="10" t="s">
        <v>25</v>
      </c>
    </row>
    <row r="28" customFormat="false" ht="15" hidden="false" customHeight="false" outlineLevel="0" collapsed="false">
      <c r="A28" s="10" t="s">
        <v>26</v>
      </c>
      <c r="B28" s="6" t="n">
        <f aca="false">COUNTIF(Checklist!$C$7:$C$73,A28)</f>
        <v>15</v>
      </c>
      <c r="C28" s="6" t="n">
        <f aca="false">COUNTIFS(Checklist!$C$7:$C$73,A28,Checklist!$L$7:$L$73,"Done")</f>
        <v>0</v>
      </c>
      <c r="D28" s="9" t="n">
        <f aca="false">IF(B28=0,0,C28/B28)</f>
        <v>0</v>
      </c>
      <c r="E28" s="10" t="s">
        <v>27</v>
      </c>
    </row>
    <row r="29" customFormat="false" ht="15" hidden="false" customHeight="false" outlineLevel="0" collapsed="false">
      <c r="A29" s="10" t="s">
        <v>28</v>
      </c>
      <c r="B29" s="6" t="n">
        <f aca="false">COUNTIF(Checklist!$C$7:$C$73,A29)</f>
        <v>14</v>
      </c>
      <c r="C29" s="6" t="n">
        <f aca="false">COUNTIFS(Checklist!$C$7:$C$73,A29,Checklist!$L$7:$L$73,"Done")</f>
        <v>0</v>
      </c>
      <c r="D29" s="9" t="n">
        <f aca="false">IF(B29=0,0,C29/B29)</f>
        <v>0</v>
      </c>
      <c r="E29" s="10" t="s">
        <v>29</v>
      </c>
    </row>
    <row r="30" customFormat="false" ht="15" hidden="false" customHeight="false" outlineLevel="0" collapsed="false">
      <c r="A30" s="10" t="s">
        <v>30</v>
      </c>
      <c r="B30" s="6" t="n">
        <f aca="false">COUNTIF(Checklist!$C$7:$C$73,A30)</f>
        <v>5</v>
      </c>
      <c r="C30" s="6" t="n">
        <f aca="false">COUNTIFS(Checklist!$C$7:$C$73,A30,Checklist!$L$7:$L$73,"Done")</f>
        <v>0</v>
      </c>
      <c r="D30" s="9" t="n">
        <f aca="false">IF(B30=0,0,C30/B30)</f>
        <v>0</v>
      </c>
      <c r="E30" s="10" t="s">
        <v>31</v>
      </c>
    </row>
    <row r="31" customFormat="false" ht="15" hidden="false" customHeight="false" outlineLevel="0" collapsed="false">
      <c r="A31" s="10" t="s">
        <v>32</v>
      </c>
      <c r="B31" s="6" t="n">
        <f aca="false">COUNTIF(Checklist!$C$7:$C$73,A31)</f>
        <v>4</v>
      </c>
      <c r="C31" s="6" t="n">
        <f aca="false">COUNTIFS(Checklist!$C$7:$C$73,A31,Checklist!$L$7:$L$73,"Done")</f>
        <v>0</v>
      </c>
      <c r="D31" s="9" t="n">
        <f aca="false">IF(B31=0,0,C31/B31)</f>
        <v>0</v>
      </c>
      <c r="E31" s="10" t="s">
        <v>33</v>
      </c>
    </row>
    <row r="33" customFormat="false" ht="15" hidden="false" customHeight="false" outlineLevel="0" collapsed="false">
      <c r="A33" s="5" t="s">
        <v>34</v>
      </c>
      <c r="B33" s="5" t="s">
        <v>4</v>
      </c>
      <c r="C33" s="5" t="s">
        <v>8</v>
      </c>
      <c r="D33" s="5" t="s">
        <v>10</v>
      </c>
    </row>
    <row r="34" customFormat="false" ht="15" hidden="false" customHeight="false" outlineLevel="0" collapsed="false">
      <c r="A34" s="6" t="s">
        <v>35</v>
      </c>
      <c r="B34" s="6" t="n">
        <f aca="false">COUNTIF(Checklist!$D$7:$D$73,A34)</f>
        <v>17</v>
      </c>
      <c r="C34" s="6" t="n">
        <f aca="false">COUNTIFS(Checklist!$D$7:$D$73,A34,Checklist!$L$7:$L$73,"Done")</f>
        <v>0</v>
      </c>
      <c r="D34" s="9" t="n">
        <f aca="false">IF(B34=0,0,C34/B34)</f>
        <v>0</v>
      </c>
    </row>
    <row r="35" customFormat="false" ht="15" hidden="false" customHeight="false" outlineLevel="0" collapsed="false">
      <c r="A35" s="6" t="s">
        <v>36</v>
      </c>
      <c r="B35" s="6" t="n">
        <f aca="false">COUNTIF(Checklist!$D$7:$D$73,A35)</f>
        <v>12</v>
      </c>
      <c r="C35" s="6" t="n">
        <f aca="false">COUNTIFS(Checklist!$D$7:$D$73,A35,Checklist!$L$7:$L$73,"Done")</f>
        <v>0</v>
      </c>
      <c r="D35" s="9" t="n">
        <f aca="false">IF(B35=0,0,C35/B35)</f>
        <v>0</v>
      </c>
    </row>
    <row r="36" customFormat="false" ht="15" hidden="false" customHeight="false" outlineLevel="0" collapsed="false">
      <c r="A36" s="6" t="s">
        <v>37</v>
      </c>
      <c r="B36" s="6" t="n">
        <f aca="false">COUNTIF(Checklist!$D$7:$D$73,A36)</f>
        <v>12</v>
      </c>
      <c r="C36" s="6" t="n">
        <f aca="false">COUNTIFS(Checklist!$D$7:$D$73,A36,Checklist!$L$7:$L$73,"Done")</f>
        <v>0</v>
      </c>
      <c r="D36" s="9" t="n">
        <f aca="false">IF(B36=0,0,C36/B36)</f>
        <v>0</v>
      </c>
    </row>
    <row r="37" customFormat="false" ht="15" hidden="false" customHeight="false" outlineLevel="0" collapsed="false">
      <c r="A37" s="6" t="s">
        <v>38</v>
      </c>
      <c r="B37" s="6" t="n">
        <f aca="false">COUNTIF(Checklist!$D$7:$D$73,A37)</f>
        <v>6</v>
      </c>
      <c r="C37" s="6" t="n">
        <f aca="false">COUNTIFS(Checklist!$D$7:$D$73,A37,Checklist!$L$7:$L$73,"Done")</f>
        <v>0</v>
      </c>
      <c r="D37" s="9" t="n">
        <f aca="false">IF(B37=0,0,C37/B37)</f>
        <v>0</v>
      </c>
    </row>
    <row r="38" customFormat="false" ht="15" hidden="false" customHeight="false" outlineLevel="0" collapsed="false">
      <c r="A38" s="6" t="s">
        <v>39</v>
      </c>
      <c r="B38" s="6" t="n">
        <f aca="false">COUNTIF(Checklist!$D$7:$D$73,A38)</f>
        <v>5</v>
      </c>
      <c r="C38" s="6" t="n">
        <f aca="false">COUNTIFS(Checklist!$D$7:$D$73,A38,Checklist!$L$7:$L$73,"Done")</f>
        <v>0</v>
      </c>
      <c r="D38" s="9" t="n">
        <f aca="false">IF(B38=0,0,C38/B38)</f>
        <v>0</v>
      </c>
    </row>
    <row r="39" customFormat="false" ht="15" hidden="false" customHeight="false" outlineLevel="0" collapsed="false">
      <c r="A39" s="6" t="s">
        <v>40</v>
      </c>
      <c r="B39" s="6" t="n">
        <f aca="false">COUNTIF(Checklist!$D$7:$D$73,A39)</f>
        <v>4</v>
      </c>
      <c r="C39" s="6" t="n">
        <f aca="false">COUNTIFS(Checklist!$D$7:$D$73,A39,Checklist!$L$7:$L$73,"Done")</f>
        <v>0</v>
      </c>
      <c r="D39" s="9" t="n">
        <f aca="false">IF(B39=0,0,C39/B39)</f>
        <v>0</v>
      </c>
    </row>
    <row r="40" customFormat="false" ht="15" hidden="false" customHeight="false" outlineLevel="0" collapsed="false">
      <c r="A40" s="6" t="s">
        <v>41</v>
      </c>
      <c r="B40" s="6" t="n">
        <f aca="false">COUNTIF(Checklist!$D$7:$D$73,A40)</f>
        <v>11</v>
      </c>
      <c r="C40" s="6" t="n">
        <f aca="false">COUNTIFS(Checklist!$D$7:$D$73,A40,Checklist!$L$7:$L$73,"Done")</f>
        <v>0</v>
      </c>
      <c r="D40" s="9" t="n">
        <f aca="false">IF(B40=0,0,C40/B40)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0"/>
    <col collapsed="false" customWidth="true" hidden="false" outlineLevel="0" max="4" min="3" style="0" width="24"/>
    <col collapsed="false" customWidth="true" hidden="false" outlineLevel="0" max="5" min="5" style="0" width="26"/>
    <col collapsed="false" customWidth="true" hidden="false" outlineLevel="0" max="6" min="6" style="0" width="62"/>
    <col collapsed="false" customWidth="true" hidden="false" outlineLevel="0" max="7" min="7" style="0" width="44"/>
    <col collapsed="false" customWidth="true" hidden="false" outlineLevel="0" max="8" min="8" style="0" width="46"/>
    <col collapsed="false" customWidth="true" hidden="false" outlineLevel="0" max="9" min="9" style="0" width="16"/>
    <col collapsed="false" customWidth="true" hidden="false" outlineLevel="0" max="12" min="10" style="0" width="13"/>
    <col collapsed="false" customWidth="true" hidden="false" outlineLevel="0" max="13" min="13" style="0" width="28"/>
  </cols>
  <sheetData>
    <row r="1" customFormat="false" ht="17.35" hidden="false" customHeight="false" outlineLevel="0" collapsed="false">
      <c r="A1" s="1" t="s">
        <v>42</v>
      </c>
    </row>
    <row r="2" customFormat="false" ht="15" hidden="false" customHeight="false" outlineLevel="0" collapsed="false">
      <c r="A2" s="2" t="s">
        <v>43</v>
      </c>
    </row>
    <row r="3" customFormat="false" ht="43.5" hidden="false" customHeight="true" outlineLevel="0" collapsed="false">
      <c r="A3" s="11" t="s">
        <v>44</v>
      </c>
      <c r="B3" s="11"/>
      <c r="C3" s="11"/>
      <c r="D3" s="11"/>
      <c r="E3" s="11"/>
      <c r="F3" s="11"/>
      <c r="G3" s="11"/>
      <c r="H3" s="11"/>
      <c r="I3" s="11"/>
      <c r="J3" s="11"/>
      <c r="K3" s="11"/>
      <c r="L3" s="11"/>
      <c r="M3" s="11"/>
    </row>
    <row r="4" customFormat="false" ht="15" hidden="false" customHeight="false" outlineLevel="0" collapsed="false">
      <c r="A4" s="12" t="s">
        <v>45</v>
      </c>
    </row>
    <row r="6" customFormat="false" ht="15" hidden="false" customHeight="false" outlineLevel="0" collapsed="false">
      <c r="A6" s="5" t="s">
        <v>46</v>
      </c>
      <c r="B6" s="5" t="s">
        <v>16</v>
      </c>
      <c r="C6" s="5" t="s">
        <v>47</v>
      </c>
      <c r="D6" s="5" t="s">
        <v>34</v>
      </c>
      <c r="E6" s="5" t="s">
        <v>48</v>
      </c>
      <c r="F6" s="5" t="s">
        <v>49</v>
      </c>
      <c r="G6" s="5" t="s">
        <v>50</v>
      </c>
      <c r="H6" s="5" t="s">
        <v>51</v>
      </c>
      <c r="I6" s="5" t="s">
        <v>52</v>
      </c>
      <c r="J6" s="5" t="s">
        <v>53</v>
      </c>
      <c r="K6" s="5" t="s">
        <v>54</v>
      </c>
      <c r="L6" s="5" t="s">
        <v>3</v>
      </c>
      <c r="M6" s="5" t="s">
        <v>55</v>
      </c>
    </row>
    <row r="7" customFormat="false" ht="35.05" hidden="false" customHeight="false" outlineLevel="0" collapsed="false">
      <c r="A7" s="13" t="s">
        <v>56</v>
      </c>
      <c r="B7" s="13" t="s">
        <v>17</v>
      </c>
      <c r="C7" s="10" t="s">
        <v>24</v>
      </c>
      <c r="D7" s="10" t="s">
        <v>35</v>
      </c>
      <c r="E7" s="10" t="s">
        <v>57</v>
      </c>
      <c r="F7" s="10" t="s">
        <v>58</v>
      </c>
      <c r="G7" s="10" t="s">
        <v>59</v>
      </c>
      <c r="H7" s="10" t="s">
        <v>60</v>
      </c>
      <c r="I7" s="10"/>
      <c r="J7" s="14"/>
      <c r="K7" s="15"/>
      <c r="L7" s="16" t="s">
        <v>5</v>
      </c>
      <c r="M7" s="14"/>
    </row>
    <row r="8" customFormat="false" ht="35.05" hidden="false" customHeight="false" outlineLevel="0" collapsed="false">
      <c r="A8" s="13" t="s">
        <v>61</v>
      </c>
      <c r="B8" s="13" t="s">
        <v>17</v>
      </c>
      <c r="C8" s="10" t="s">
        <v>24</v>
      </c>
      <c r="D8" s="10" t="s">
        <v>35</v>
      </c>
      <c r="E8" s="10" t="s">
        <v>57</v>
      </c>
      <c r="F8" s="10" t="s">
        <v>62</v>
      </c>
      <c r="G8" s="10" t="s">
        <v>63</v>
      </c>
      <c r="H8" s="10" t="s">
        <v>64</v>
      </c>
      <c r="I8" s="10"/>
      <c r="J8" s="14"/>
      <c r="K8" s="15"/>
      <c r="L8" s="16" t="s">
        <v>5</v>
      </c>
      <c r="M8" s="14"/>
    </row>
    <row r="9" customFormat="false" ht="35.05" hidden="false" customHeight="false" outlineLevel="0" collapsed="false">
      <c r="A9" s="13" t="s">
        <v>65</v>
      </c>
      <c r="B9" s="13" t="s">
        <v>17</v>
      </c>
      <c r="C9" s="10" t="s">
        <v>24</v>
      </c>
      <c r="D9" s="10" t="s">
        <v>35</v>
      </c>
      <c r="E9" s="10" t="s">
        <v>57</v>
      </c>
      <c r="F9" s="10" t="s">
        <v>66</v>
      </c>
      <c r="G9" s="10" t="s">
        <v>67</v>
      </c>
      <c r="H9" s="10" t="s">
        <v>68</v>
      </c>
      <c r="I9" s="10"/>
      <c r="J9" s="14"/>
      <c r="K9" s="15"/>
      <c r="L9" s="16" t="s">
        <v>5</v>
      </c>
      <c r="M9" s="14"/>
    </row>
    <row r="10" customFormat="false" ht="23.85" hidden="false" customHeight="false" outlineLevel="0" collapsed="false">
      <c r="A10" s="13" t="s">
        <v>69</v>
      </c>
      <c r="B10" s="13" t="s">
        <v>18</v>
      </c>
      <c r="C10" s="10" t="s">
        <v>24</v>
      </c>
      <c r="D10" s="10" t="s">
        <v>35</v>
      </c>
      <c r="E10" s="10" t="s">
        <v>57</v>
      </c>
      <c r="F10" s="10" t="s">
        <v>70</v>
      </c>
      <c r="G10" s="10" t="s">
        <v>71</v>
      </c>
      <c r="H10" s="10" t="s">
        <v>72</v>
      </c>
      <c r="I10" s="10"/>
      <c r="J10" s="14"/>
      <c r="K10" s="15"/>
      <c r="L10" s="16" t="s">
        <v>5</v>
      </c>
      <c r="M10" s="14"/>
    </row>
    <row r="11" customFormat="false" ht="46.25" hidden="false" customHeight="false" outlineLevel="0" collapsed="false">
      <c r="A11" s="13" t="s">
        <v>73</v>
      </c>
      <c r="B11" s="13" t="s">
        <v>17</v>
      </c>
      <c r="C11" s="10" t="s">
        <v>24</v>
      </c>
      <c r="D11" s="10" t="s">
        <v>35</v>
      </c>
      <c r="E11" s="10" t="s">
        <v>74</v>
      </c>
      <c r="F11" s="10" t="s">
        <v>75</v>
      </c>
      <c r="G11" s="10" t="s">
        <v>76</v>
      </c>
      <c r="H11" s="10" t="s">
        <v>77</v>
      </c>
      <c r="I11" s="10"/>
      <c r="J11" s="14"/>
      <c r="K11" s="15"/>
      <c r="L11" s="16" t="s">
        <v>5</v>
      </c>
      <c r="M11" s="14"/>
    </row>
    <row r="12" customFormat="false" ht="57.45" hidden="false" customHeight="false" outlineLevel="0" collapsed="false">
      <c r="A12" s="13" t="s">
        <v>78</v>
      </c>
      <c r="B12" s="13" t="s">
        <v>17</v>
      </c>
      <c r="C12" s="10" t="s">
        <v>24</v>
      </c>
      <c r="D12" s="10" t="s">
        <v>35</v>
      </c>
      <c r="E12" s="10" t="s">
        <v>79</v>
      </c>
      <c r="F12" s="10" t="s">
        <v>80</v>
      </c>
      <c r="G12" s="10" t="s">
        <v>81</v>
      </c>
      <c r="H12" s="10" t="s">
        <v>82</v>
      </c>
      <c r="I12" s="10"/>
      <c r="J12" s="14"/>
      <c r="K12" s="15"/>
      <c r="L12" s="16" t="s">
        <v>5</v>
      </c>
      <c r="M12" s="14"/>
    </row>
    <row r="13" customFormat="false" ht="23.85" hidden="false" customHeight="false" outlineLevel="0" collapsed="false">
      <c r="A13" s="13" t="s">
        <v>83</v>
      </c>
      <c r="B13" s="13" t="s">
        <v>18</v>
      </c>
      <c r="C13" s="10" t="s">
        <v>24</v>
      </c>
      <c r="D13" s="10" t="s">
        <v>35</v>
      </c>
      <c r="E13" s="10" t="s">
        <v>84</v>
      </c>
      <c r="F13" s="10" t="s">
        <v>85</v>
      </c>
      <c r="G13" s="10" t="s">
        <v>86</v>
      </c>
      <c r="H13" s="10" t="s">
        <v>87</v>
      </c>
      <c r="I13" s="10"/>
      <c r="J13" s="14"/>
      <c r="K13" s="15"/>
      <c r="L13" s="16" t="s">
        <v>5</v>
      </c>
      <c r="M13" s="14"/>
    </row>
    <row r="14" customFormat="false" ht="68.65" hidden="false" customHeight="false" outlineLevel="0" collapsed="false">
      <c r="A14" s="13" t="s">
        <v>88</v>
      </c>
      <c r="B14" s="13" t="s">
        <v>17</v>
      </c>
      <c r="C14" s="10" t="s">
        <v>24</v>
      </c>
      <c r="D14" s="10" t="s">
        <v>35</v>
      </c>
      <c r="E14" s="10" t="s">
        <v>89</v>
      </c>
      <c r="F14" s="10" t="s">
        <v>90</v>
      </c>
      <c r="G14" s="10" t="s">
        <v>91</v>
      </c>
      <c r="H14" s="10" t="s">
        <v>92</v>
      </c>
      <c r="I14" s="10" t="s">
        <v>93</v>
      </c>
      <c r="J14" s="14"/>
      <c r="K14" s="15"/>
      <c r="L14" s="16" t="s">
        <v>5</v>
      </c>
      <c r="M14" s="14"/>
    </row>
    <row r="15" customFormat="false" ht="46.25" hidden="false" customHeight="false" outlineLevel="0" collapsed="false">
      <c r="A15" s="13" t="s">
        <v>94</v>
      </c>
      <c r="B15" s="13" t="s">
        <v>17</v>
      </c>
      <c r="C15" s="10" t="s">
        <v>24</v>
      </c>
      <c r="D15" s="10" t="s">
        <v>35</v>
      </c>
      <c r="E15" s="10" t="s">
        <v>95</v>
      </c>
      <c r="F15" s="10" t="s">
        <v>96</v>
      </c>
      <c r="G15" s="10" t="s">
        <v>97</v>
      </c>
      <c r="H15" s="10" t="s">
        <v>98</v>
      </c>
      <c r="I15" s="10"/>
      <c r="J15" s="14"/>
      <c r="K15" s="15"/>
      <c r="L15" s="16" t="s">
        <v>5</v>
      </c>
      <c r="M15" s="14"/>
    </row>
    <row r="16" customFormat="false" ht="57.45" hidden="false" customHeight="false" outlineLevel="0" collapsed="false">
      <c r="A16" s="13" t="s">
        <v>99</v>
      </c>
      <c r="B16" s="13" t="s">
        <v>17</v>
      </c>
      <c r="C16" s="10" t="s">
        <v>24</v>
      </c>
      <c r="D16" s="10" t="s">
        <v>35</v>
      </c>
      <c r="E16" s="10" t="s">
        <v>95</v>
      </c>
      <c r="F16" s="10" t="s">
        <v>100</v>
      </c>
      <c r="G16" s="10" t="s">
        <v>101</v>
      </c>
      <c r="H16" s="10" t="s">
        <v>102</v>
      </c>
      <c r="I16" s="10"/>
      <c r="J16" s="14"/>
      <c r="K16" s="15"/>
      <c r="L16" s="16" t="s">
        <v>5</v>
      </c>
      <c r="M16" s="14"/>
    </row>
    <row r="17" customFormat="false" ht="35.05" hidden="false" customHeight="false" outlineLevel="0" collapsed="false">
      <c r="A17" s="13" t="s">
        <v>103</v>
      </c>
      <c r="B17" s="13" t="s">
        <v>18</v>
      </c>
      <c r="C17" s="10" t="s">
        <v>24</v>
      </c>
      <c r="D17" s="10" t="s">
        <v>35</v>
      </c>
      <c r="E17" s="10" t="s">
        <v>104</v>
      </c>
      <c r="F17" s="10" t="s">
        <v>105</v>
      </c>
      <c r="G17" s="10" t="s">
        <v>106</v>
      </c>
      <c r="H17" s="10" t="s">
        <v>107</v>
      </c>
      <c r="I17" s="10"/>
      <c r="J17" s="14"/>
      <c r="K17" s="15"/>
      <c r="L17" s="16" t="s">
        <v>5</v>
      </c>
      <c r="M17" s="14"/>
    </row>
    <row r="18" customFormat="false" ht="35.05" hidden="false" customHeight="false" outlineLevel="0" collapsed="false">
      <c r="A18" s="13" t="s">
        <v>108</v>
      </c>
      <c r="B18" s="13" t="s">
        <v>17</v>
      </c>
      <c r="C18" s="10" t="s">
        <v>24</v>
      </c>
      <c r="D18" s="10" t="s">
        <v>35</v>
      </c>
      <c r="E18" s="10" t="s">
        <v>109</v>
      </c>
      <c r="F18" s="10" t="s">
        <v>110</v>
      </c>
      <c r="G18" s="10" t="s">
        <v>111</v>
      </c>
      <c r="H18" s="10" t="s">
        <v>112</v>
      </c>
      <c r="I18" s="10"/>
      <c r="J18" s="14"/>
      <c r="K18" s="15"/>
      <c r="L18" s="16" t="s">
        <v>5</v>
      </c>
      <c r="M18" s="14"/>
    </row>
    <row r="19" customFormat="false" ht="23.85" hidden="false" customHeight="false" outlineLevel="0" collapsed="false">
      <c r="A19" s="13" t="s">
        <v>113</v>
      </c>
      <c r="B19" s="13" t="s">
        <v>18</v>
      </c>
      <c r="C19" s="10" t="s">
        <v>24</v>
      </c>
      <c r="D19" s="10" t="s">
        <v>35</v>
      </c>
      <c r="E19" s="10" t="s">
        <v>114</v>
      </c>
      <c r="F19" s="10" t="s">
        <v>115</v>
      </c>
      <c r="G19" s="10" t="s">
        <v>116</v>
      </c>
      <c r="H19" s="10" t="s">
        <v>117</v>
      </c>
      <c r="I19" s="10" t="s">
        <v>73</v>
      </c>
      <c r="J19" s="14"/>
      <c r="K19" s="15"/>
      <c r="L19" s="16" t="s">
        <v>5</v>
      </c>
      <c r="M19" s="14"/>
    </row>
    <row r="20" customFormat="false" ht="57.45" hidden="false" customHeight="false" outlineLevel="0" collapsed="false">
      <c r="A20" s="13" t="s">
        <v>118</v>
      </c>
      <c r="B20" s="13" t="s">
        <v>17</v>
      </c>
      <c r="C20" s="10" t="s">
        <v>24</v>
      </c>
      <c r="D20" s="10" t="s">
        <v>35</v>
      </c>
      <c r="E20" s="10" t="s">
        <v>119</v>
      </c>
      <c r="F20" s="10" t="s">
        <v>120</v>
      </c>
      <c r="G20" s="10" t="s">
        <v>121</v>
      </c>
      <c r="H20" s="10" t="s">
        <v>122</v>
      </c>
      <c r="I20" s="10" t="s">
        <v>123</v>
      </c>
      <c r="J20" s="14"/>
      <c r="K20" s="15"/>
      <c r="L20" s="16" t="s">
        <v>5</v>
      </c>
      <c r="M20" s="14"/>
    </row>
    <row r="21" customFormat="false" ht="23.85" hidden="false" customHeight="false" outlineLevel="0" collapsed="false">
      <c r="A21" s="13" t="s">
        <v>124</v>
      </c>
      <c r="B21" s="13" t="s">
        <v>18</v>
      </c>
      <c r="C21" s="10" t="s">
        <v>24</v>
      </c>
      <c r="D21" s="10" t="s">
        <v>35</v>
      </c>
      <c r="E21" s="10" t="s">
        <v>125</v>
      </c>
      <c r="F21" s="10" t="s">
        <v>126</v>
      </c>
      <c r="G21" s="10" t="s">
        <v>127</v>
      </c>
      <c r="H21" s="10" t="s">
        <v>128</v>
      </c>
      <c r="I21" s="10"/>
      <c r="J21" s="14"/>
      <c r="K21" s="15"/>
      <c r="L21" s="16" t="s">
        <v>5</v>
      </c>
      <c r="M21" s="14"/>
    </row>
    <row r="22" customFormat="false" ht="23.85" hidden="false" customHeight="false" outlineLevel="0" collapsed="false">
      <c r="A22" s="13" t="s">
        <v>129</v>
      </c>
      <c r="B22" s="13" t="s">
        <v>17</v>
      </c>
      <c r="C22" s="10" t="s">
        <v>22</v>
      </c>
      <c r="D22" s="10" t="s">
        <v>35</v>
      </c>
      <c r="E22" s="10" t="s">
        <v>130</v>
      </c>
      <c r="F22" s="10" t="s">
        <v>131</v>
      </c>
      <c r="G22" s="10" t="s">
        <v>132</v>
      </c>
      <c r="H22" s="10" t="s">
        <v>133</v>
      </c>
      <c r="I22" s="10"/>
      <c r="J22" s="14"/>
      <c r="K22" s="15"/>
      <c r="L22" s="16" t="s">
        <v>5</v>
      </c>
      <c r="M22" s="14"/>
    </row>
    <row r="23" customFormat="false" ht="46.25" hidden="false" customHeight="false" outlineLevel="0" collapsed="false">
      <c r="A23" s="13" t="s">
        <v>93</v>
      </c>
      <c r="B23" s="13" t="s">
        <v>18</v>
      </c>
      <c r="C23" s="10" t="s">
        <v>22</v>
      </c>
      <c r="D23" s="10" t="s">
        <v>35</v>
      </c>
      <c r="E23" s="10" t="s">
        <v>134</v>
      </c>
      <c r="F23" s="10" t="s">
        <v>135</v>
      </c>
      <c r="G23" s="10" t="s">
        <v>136</v>
      </c>
      <c r="H23" s="10" t="s">
        <v>137</v>
      </c>
      <c r="I23" s="10"/>
      <c r="J23" s="14"/>
      <c r="K23" s="15"/>
      <c r="L23" s="16" t="s">
        <v>5</v>
      </c>
      <c r="M23" s="14"/>
    </row>
    <row r="24" customFormat="false" ht="35.05" hidden="false" customHeight="false" outlineLevel="0" collapsed="false">
      <c r="A24" s="13" t="s">
        <v>138</v>
      </c>
      <c r="B24" s="13" t="s">
        <v>17</v>
      </c>
      <c r="C24" s="10" t="s">
        <v>28</v>
      </c>
      <c r="D24" s="10" t="s">
        <v>36</v>
      </c>
      <c r="E24" s="10" t="s">
        <v>139</v>
      </c>
      <c r="F24" s="10" t="s">
        <v>140</v>
      </c>
      <c r="G24" s="10" t="s">
        <v>141</v>
      </c>
      <c r="H24" s="10" t="s">
        <v>142</v>
      </c>
      <c r="I24" s="10" t="s">
        <v>143</v>
      </c>
      <c r="J24" s="14"/>
      <c r="K24" s="15"/>
      <c r="L24" s="16" t="s">
        <v>5</v>
      </c>
      <c r="M24" s="14"/>
    </row>
    <row r="25" customFormat="false" ht="23.85" hidden="false" customHeight="false" outlineLevel="0" collapsed="false">
      <c r="A25" s="13" t="s">
        <v>144</v>
      </c>
      <c r="B25" s="13" t="s">
        <v>17</v>
      </c>
      <c r="C25" s="10" t="s">
        <v>28</v>
      </c>
      <c r="D25" s="10" t="s">
        <v>36</v>
      </c>
      <c r="E25" s="10" t="s">
        <v>145</v>
      </c>
      <c r="F25" s="10" t="s">
        <v>146</v>
      </c>
      <c r="G25" s="10" t="s">
        <v>147</v>
      </c>
      <c r="H25" s="10" t="s">
        <v>148</v>
      </c>
      <c r="I25" s="10" t="s">
        <v>124</v>
      </c>
      <c r="J25" s="14"/>
      <c r="K25" s="15"/>
      <c r="L25" s="16" t="s">
        <v>5</v>
      </c>
      <c r="M25" s="14"/>
    </row>
    <row r="26" customFormat="false" ht="35.05" hidden="false" customHeight="false" outlineLevel="0" collapsed="false">
      <c r="A26" s="13" t="s">
        <v>149</v>
      </c>
      <c r="B26" s="13" t="s">
        <v>17</v>
      </c>
      <c r="C26" s="10" t="s">
        <v>28</v>
      </c>
      <c r="D26" s="10" t="s">
        <v>36</v>
      </c>
      <c r="E26" s="10" t="s">
        <v>150</v>
      </c>
      <c r="F26" s="10" t="s">
        <v>151</v>
      </c>
      <c r="G26" s="10" t="s">
        <v>152</v>
      </c>
      <c r="H26" s="10" t="s">
        <v>153</v>
      </c>
      <c r="I26" s="10" t="s">
        <v>154</v>
      </c>
      <c r="J26" s="14"/>
      <c r="K26" s="15"/>
      <c r="L26" s="16" t="s">
        <v>5</v>
      </c>
      <c r="M26" s="14"/>
    </row>
    <row r="27" customFormat="false" ht="35.05" hidden="false" customHeight="false" outlineLevel="0" collapsed="false">
      <c r="A27" s="13" t="s">
        <v>155</v>
      </c>
      <c r="B27" s="13" t="s">
        <v>17</v>
      </c>
      <c r="C27" s="10" t="s">
        <v>28</v>
      </c>
      <c r="D27" s="10" t="s">
        <v>36</v>
      </c>
      <c r="E27" s="10" t="s">
        <v>156</v>
      </c>
      <c r="F27" s="10" t="s">
        <v>157</v>
      </c>
      <c r="G27" s="10" t="s">
        <v>158</v>
      </c>
      <c r="H27" s="10" t="s">
        <v>159</v>
      </c>
      <c r="I27" s="10" t="s">
        <v>160</v>
      </c>
      <c r="J27" s="14"/>
      <c r="K27" s="15"/>
      <c r="L27" s="16" t="s">
        <v>5</v>
      </c>
      <c r="M27" s="14"/>
    </row>
    <row r="28" customFormat="false" ht="35.05" hidden="false" customHeight="false" outlineLevel="0" collapsed="false">
      <c r="A28" s="13" t="s">
        <v>161</v>
      </c>
      <c r="B28" s="13" t="s">
        <v>18</v>
      </c>
      <c r="C28" s="10" t="s">
        <v>28</v>
      </c>
      <c r="D28" s="10" t="s">
        <v>36</v>
      </c>
      <c r="E28" s="10" t="s">
        <v>162</v>
      </c>
      <c r="F28" s="10" t="s">
        <v>163</v>
      </c>
      <c r="G28" s="10" t="s">
        <v>164</v>
      </c>
      <c r="H28" s="10" t="s">
        <v>165</v>
      </c>
      <c r="I28" s="10" t="s">
        <v>166</v>
      </c>
      <c r="J28" s="14"/>
      <c r="K28" s="15"/>
      <c r="L28" s="16" t="s">
        <v>5</v>
      </c>
      <c r="M28" s="14"/>
    </row>
    <row r="29" customFormat="false" ht="23.85" hidden="false" customHeight="false" outlineLevel="0" collapsed="false">
      <c r="A29" s="13" t="s">
        <v>167</v>
      </c>
      <c r="B29" s="13" t="s">
        <v>18</v>
      </c>
      <c r="C29" s="10" t="s">
        <v>28</v>
      </c>
      <c r="D29" s="10" t="s">
        <v>36</v>
      </c>
      <c r="E29" s="10" t="s">
        <v>168</v>
      </c>
      <c r="F29" s="10" t="s">
        <v>169</v>
      </c>
      <c r="G29" s="10" t="s">
        <v>170</v>
      </c>
      <c r="H29" s="10" t="s">
        <v>171</v>
      </c>
      <c r="I29" s="10" t="s">
        <v>172</v>
      </c>
      <c r="J29" s="14"/>
      <c r="K29" s="15"/>
      <c r="L29" s="16" t="s">
        <v>5</v>
      </c>
      <c r="M29" s="14"/>
    </row>
    <row r="30" customFormat="false" ht="23.85" hidden="false" customHeight="false" outlineLevel="0" collapsed="false">
      <c r="A30" s="13" t="s">
        <v>173</v>
      </c>
      <c r="B30" s="13" t="s">
        <v>18</v>
      </c>
      <c r="C30" s="10" t="s">
        <v>28</v>
      </c>
      <c r="D30" s="10" t="s">
        <v>36</v>
      </c>
      <c r="E30" s="10" t="s">
        <v>174</v>
      </c>
      <c r="F30" s="10" t="s">
        <v>175</v>
      </c>
      <c r="G30" s="10" t="s">
        <v>176</v>
      </c>
      <c r="H30" s="10" t="s">
        <v>177</v>
      </c>
      <c r="I30" s="10" t="s">
        <v>178</v>
      </c>
      <c r="J30" s="14"/>
      <c r="K30" s="15"/>
      <c r="L30" s="16" t="s">
        <v>5</v>
      </c>
      <c r="M30" s="14"/>
    </row>
    <row r="31" customFormat="false" ht="23.85" hidden="false" customHeight="false" outlineLevel="0" collapsed="false">
      <c r="A31" s="13" t="s">
        <v>179</v>
      </c>
      <c r="B31" s="13" t="s">
        <v>18</v>
      </c>
      <c r="C31" s="10" t="s">
        <v>28</v>
      </c>
      <c r="D31" s="10" t="s">
        <v>36</v>
      </c>
      <c r="E31" s="10" t="s">
        <v>180</v>
      </c>
      <c r="F31" s="10" t="s">
        <v>181</v>
      </c>
      <c r="G31" s="10" t="s">
        <v>182</v>
      </c>
      <c r="H31" s="10" t="s">
        <v>183</v>
      </c>
      <c r="I31" s="10" t="s">
        <v>73</v>
      </c>
      <c r="J31" s="14"/>
      <c r="K31" s="15"/>
      <c r="L31" s="16" t="s">
        <v>5</v>
      </c>
      <c r="M31" s="14"/>
    </row>
    <row r="32" customFormat="false" ht="23.85" hidden="false" customHeight="false" outlineLevel="0" collapsed="false">
      <c r="A32" s="13" t="s">
        <v>184</v>
      </c>
      <c r="B32" s="13" t="s">
        <v>19</v>
      </c>
      <c r="C32" s="10" t="s">
        <v>28</v>
      </c>
      <c r="D32" s="10" t="s">
        <v>36</v>
      </c>
      <c r="E32" s="10" t="s">
        <v>185</v>
      </c>
      <c r="F32" s="10" t="s">
        <v>186</v>
      </c>
      <c r="G32" s="10" t="s">
        <v>187</v>
      </c>
      <c r="H32" s="10" t="s">
        <v>188</v>
      </c>
      <c r="I32" s="10" t="s">
        <v>65</v>
      </c>
      <c r="J32" s="14"/>
      <c r="K32" s="15"/>
      <c r="L32" s="16" t="s">
        <v>5</v>
      </c>
      <c r="M32" s="14"/>
    </row>
    <row r="33" customFormat="false" ht="23.85" hidden="false" customHeight="false" outlineLevel="0" collapsed="false">
      <c r="A33" s="13" t="s">
        <v>189</v>
      </c>
      <c r="B33" s="13" t="s">
        <v>19</v>
      </c>
      <c r="C33" s="10" t="s">
        <v>28</v>
      </c>
      <c r="D33" s="10" t="s">
        <v>36</v>
      </c>
      <c r="E33" s="10" t="s">
        <v>190</v>
      </c>
      <c r="F33" s="10" t="s">
        <v>191</v>
      </c>
      <c r="G33" s="10" t="s">
        <v>192</v>
      </c>
      <c r="H33" s="10" t="s">
        <v>193</v>
      </c>
      <c r="I33" s="10" t="s">
        <v>78</v>
      </c>
      <c r="J33" s="14"/>
      <c r="K33" s="15"/>
      <c r="L33" s="16" t="s">
        <v>5</v>
      </c>
      <c r="M33" s="14"/>
    </row>
    <row r="34" customFormat="false" ht="35.05" hidden="false" customHeight="false" outlineLevel="0" collapsed="false">
      <c r="A34" s="13" t="s">
        <v>194</v>
      </c>
      <c r="B34" s="13" t="s">
        <v>17</v>
      </c>
      <c r="C34" s="10" t="s">
        <v>28</v>
      </c>
      <c r="D34" s="10" t="s">
        <v>36</v>
      </c>
      <c r="E34" s="10" t="s">
        <v>195</v>
      </c>
      <c r="F34" s="10" t="s">
        <v>196</v>
      </c>
      <c r="G34" s="10" t="s">
        <v>197</v>
      </c>
      <c r="H34" s="10" t="s">
        <v>198</v>
      </c>
      <c r="I34" s="10" t="s">
        <v>199</v>
      </c>
      <c r="J34" s="14"/>
      <c r="K34" s="15"/>
      <c r="L34" s="16" t="s">
        <v>5</v>
      </c>
      <c r="M34" s="14"/>
    </row>
    <row r="35" customFormat="false" ht="23.85" hidden="false" customHeight="false" outlineLevel="0" collapsed="false">
      <c r="A35" s="13" t="s">
        <v>200</v>
      </c>
      <c r="B35" s="13" t="s">
        <v>18</v>
      </c>
      <c r="C35" s="10" t="s">
        <v>26</v>
      </c>
      <c r="D35" s="10" t="s">
        <v>36</v>
      </c>
      <c r="E35" s="10" t="s">
        <v>201</v>
      </c>
      <c r="F35" s="10" t="s">
        <v>202</v>
      </c>
      <c r="G35" s="10" t="s">
        <v>203</v>
      </c>
      <c r="H35" s="10" t="s">
        <v>204</v>
      </c>
      <c r="I35" s="10"/>
      <c r="J35" s="14"/>
      <c r="K35" s="15"/>
      <c r="L35" s="16" t="s">
        <v>5</v>
      </c>
      <c r="M35" s="14"/>
    </row>
    <row r="36" customFormat="false" ht="35.05" hidden="false" customHeight="false" outlineLevel="0" collapsed="false">
      <c r="A36" s="13" t="s">
        <v>205</v>
      </c>
      <c r="B36" s="13" t="s">
        <v>17</v>
      </c>
      <c r="C36" s="10" t="s">
        <v>26</v>
      </c>
      <c r="D36" s="10" t="s">
        <v>37</v>
      </c>
      <c r="E36" s="10" t="s">
        <v>125</v>
      </c>
      <c r="F36" s="10" t="s">
        <v>206</v>
      </c>
      <c r="G36" s="10"/>
      <c r="H36" s="10" t="s">
        <v>207</v>
      </c>
      <c r="I36" s="10"/>
      <c r="J36" s="14"/>
      <c r="K36" s="15"/>
      <c r="L36" s="16" t="s">
        <v>5</v>
      </c>
      <c r="M36" s="14"/>
    </row>
    <row r="37" customFormat="false" ht="23.85" hidden="false" customHeight="false" outlineLevel="0" collapsed="false">
      <c r="A37" s="13" t="s">
        <v>208</v>
      </c>
      <c r="B37" s="13" t="s">
        <v>18</v>
      </c>
      <c r="C37" s="10" t="s">
        <v>26</v>
      </c>
      <c r="D37" s="10" t="s">
        <v>37</v>
      </c>
      <c r="E37" s="10" t="s">
        <v>125</v>
      </c>
      <c r="F37" s="10" t="s">
        <v>209</v>
      </c>
      <c r="G37" s="10"/>
      <c r="H37" s="10" t="s">
        <v>210</v>
      </c>
      <c r="I37" s="10"/>
      <c r="J37" s="14"/>
      <c r="K37" s="15"/>
      <c r="L37" s="16" t="s">
        <v>5</v>
      </c>
      <c r="M37" s="14"/>
    </row>
    <row r="38" customFormat="false" ht="23.85" hidden="false" customHeight="false" outlineLevel="0" collapsed="false">
      <c r="A38" s="13" t="s">
        <v>211</v>
      </c>
      <c r="B38" s="13" t="s">
        <v>17</v>
      </c>
      <c r="C38" s="10" t="s">
        <v>26</v>
      </c>
      <c r="D38" s="10" t="s">
        <v>37</v>
      </c>
      <c r="E38" s="10" t="s">
        <v>212</v>
      </c>
      <c r="F38" s="10" t="s">
        <v>213</v>
      </c>
      <c r="G38" s="10"/>
      <c r="H38" s="10" t="s">
        <v>214</v>
      </c>
      <c r="I38" s="10" t="s">
        <v>215</v>
      </c>
      <c r="J38" s="14"/>
      <c r="K38" s="15"/>
      <c r="L38" s="16" t="s">
        <v>5</v>
      </c>
      <c r="M38" s="14"/>
    </row>
    <row r="39" customFormat="false" ht="23.85" hidden="false" customHeight="false" outlineLevel="0" collapsed="false">
      <c r="A39" s="13" t="s">
        <v>216</v>
      </c>
      <c r="B39" s="13" t="s">
        <v>18</v>
      </c>
      <c r="C39" s="10" t="s">
        <v>26</v>
      </c>
      <c r="D39" s="10" t="s">
        <v>37</v>
      </c>
      <c r="E39" s="10" t="s">
        <v>217</v>
      </c>
      <c r="F39" s="10" t="s">
        <v>218</v>
      </c>
      <c r="G39" s="10"/>
      <c r="H39" s="10" t="s">
        <v>219</v>
      </c>
      <c r="I39" s="10"/>
      <c r="J39" s="14"/>
      <c r="K39" s="15"/>
      <c r="L39" s="16" t="s">
        <v>5</v>
      </c>
      <c r="M39" s="14"/>
    </row>
    <row r="40" customFormat="false" ht="23.85" hidden="false" customHeight="false" outlineLevel="0" collapsed="false">
      <c r="A40" s="13" t="s">
        <v>220</v>
      </c>
      <c r="B40" s="13" t="s">
        <v>18</v>
      </c>
      <c r="C40" s="10" t="s">
        <v>26</v>
      </c>
      <c r="D40" s="10" t="s">
        <v>37</v>
      </c>
      <c r="E40" s="10" t="s">
        <v>221</v>
      </c>
      <c r="F40" s="10" t="s">
        <v>222</v>
      </c>
      <c r="G40" s="10"/>
      <c r="H40" s="10" t="s">
        <v>223</v>
      </c>
      <c r="I40" s="10"/>
      <c r="J40" s="14"/>
      <c r="K40" s="15"/>
      <c r="L40" s="16" t="s">
        <v>5</v>
      </c>
      <c r="M40" s="14"/>
    </row>
    <row r="41" customFormat="false" ht="23.85" hidden="false" customHeight="false" outlineLevel="0" collapsed="false">
      <c r="A41" s="13" t="s">
        <v>224</v>
      </c>
      <c r="B41" s="13" t="s">
        <v>19</v>
      </c>
      <c r="C41" s="10" t="s">
        <v>26</v>
      </c>
      <c r="D41" s="10" t="s">
        <v>37</v>
      </c>
      <c r="E41" s="10" t="s">
        <v>225</v>
      </c>
      <c r="F41" s="10" t="s">
        <v>226</v>
      </c>
      <c r="G41" s="10"/>
      <c r="H41" s="10" t="s">
        <v>227</v>
      </c>
      <c r="I41" s="10"/>
      <c r="J41" s="14"/>
      <c r="K41" s="15"/>
      <c r="L41" s="16" t="s">
        <v>5</v>
      </c>
      <c r="M41" s="14"/>
    </row>
    <row r="42" customFormat="false" ht="23.85" hidden="false" customHeight="false" outlineLevel="0" collapsed="false">
      <c r="A42" s="13" t="s">
        <v>228</v>
      </c>
      <c r="B42" s="13" t="s">
        <v>17</v>
      </c>
      <c r="C42" s="10" t="s">
        <v>26</v>
      </c>
      <c r="D42" s="10" t="s">
        <v>37</v>
      </c>
      <c r="E42" s="10" t="s">
        <v>229</v>
      </c>
      <c r="F42" s="10" t="s">
        <v>230</v>
      </c>
      <c r="G42" s="10"/>
      <c r="H42" s="10" t="s">
        <v>231</v>
      </c>
      <c r="I42" s="10"/>
      <c r="J42" s="14"/>
      <c r="K42" s="15"/>
      <c r="L42" s="16" t="s">
        <v>5</v>
      </c>
      <c r="M42" s="14"/>
    </row>
    <row r="43" customFormat="false" ht="23.85" hidden="false" customHeight="false" outlineLevel="0" collapsed="false">
      <c r="A43" s="13" t="s">
        <v>232</v>
      </c>
      <c r="B43" s="13" t="s">
        <v>18</v>
      </c>
      <c r="C43" s="10" t="s">
        <v>26</v>
      </c>
      <c r="D43" s="10" t="s">
        <v>37</v>
      </c>
      <c r="E43" s="10" t="s">
        <v>125</v>
      </c>
      <c r="F43" s="10" t="s">
        <v>233</v>
      </c>
      <c r="G43" s="10"/>
      <c r="H43" s="10" t="s">
        <v>234</v>
      </c>
      <c r="I43" s="10"/>
      <c r="J43" s="14"/>
      <c r="K43" s="15"/>
      <c r="L43" s="16" t="s">
        <v>5</v>
      </c>
      <c r="M43" s="14"/>
    </row>
    <row r="44" customFormat="false" ht="23.85" hidden="false" customHeight="false" outlineLevel="0" collapsed="false">
      <c r="A44" s="13" t="s">
        <v>235</v>
      </c>
      <c r="B44" s="13" t="s">
        <v>19</v>
      </c>
      <c r="C44" s="10" t="s">
        <v>26</v>
      </c>
      <c r="D44" s="10" t="s">
        <v>37</v>
      </c>
      <c r="E44" s="10" t="s">
        <v>125</v>
      </c>
      <c r="F44" s="10" t="s">
        <v>236</v>
      </c>
      <c r="G44" s="10"/>
      <c r="H44" s="10" t="s">
        <v>237</v>
      </c>
      <c r="I44" s="10"/>
      <c r="J44" s="14"/>
      <c r="K44" s="15"/>
      <c r="L44" s="16" t="s">
        <v>5</v>
      </c>
      <c r="M44" s="14"/>
    </row>
    <row r="45" customFormat="false" ht="23.85" hidden="false" customHeight="false" outlineLevel="0" collapsed="false">
      <c r="A45" s="13" t="s">
        <v>238</v>
      </c>
      <c r="B45" s="13" t="s">
        <v>18</v>
      </c>
      <c r="C45" s="10" t="s">
        <v>28</v>
      </c>
      <c r="D45" s="10" t="s">
        <v>37</v>
      </c>
      <c r="E45" s="10" t="s">
        <v>125</v>
      </c>
      <c r="F45" s="10" t="s">
        <v>239</v>
      </c>
      <c r="G45" s="10"/>
      <c r="H45" s="10" t="s">
        <v>240</v>
      </c>
      <c r="I45" s="10" t="s">
        <v>144</v>
      </c>
      <c r="J45" s="14"/>
      <c r="K45" s="15"/>
      <c r="L45" s="16" t="s">
        <v>5</v>
      </c>
      <c r="M45" s="14"/>
    </row>
    <row r="46" customFormat="false" ht="23.85" hidden="false" customHeight="false" outlineLevel="0" collapsed="false">
      <c r="A46" s="13" t="s">
        <v>241</v>
      </c>
      <c r="B46" s="13" t="s">
        <v>18</v>
      </c>
      <c r="C46" s="10" t="s">
        <v>26</v>
      </c>
      <c r="D46" s="10" t="s">
        <v>37</v>
      </c>
      <c r="E46" s="10" t="s">
        <v>242</v>
      </c>
      <c r="F46" s="10" t="s">
        <v>243</v>
      </c>
      <c r="G46" s="10"/>
      <c r="H46" s="10" t="s">
        <v>244</v>
      </c>
      <c r="I46" s="10" t="s">
        <v>245</v>
      </c>
      <c r="J46" s="14"/>
      <c r="K46" s="15"/>
      <c r="L46" s="16" t="s">
        <v>5</v>
      </c>
      <c r="M46" s="14"/>
    </row>
    <row r="47" customFormat="false" ht="23.85" hidden="false" customHeight="false" outlineLevel="0" collapsed="false">
      <c r="A47" s="13" t="s">
        <v>246</v>
      </c>
      <c r="B47" s="13" t="s">
        <v>19</v>
      </c>
      <c r="C47" s="10" t="s">
        <v>26</v>
      </c>
      <c r="D47" s="10" t="s">
        <v>37</v>
      </c>
      <c r="E47" s="10" t="s">
        <v>247</v>
      </c>
      <c r="F47" s="10" t="s">
        <v>248</v>
      </c>
      <c r="G47" s="10"/>
      <c r="H47" s="10" t="s">
        <v>249</v>
      </c>
      <c r="I47" s="10"/>
      <c r="J47" s="14"/>
      <c r="K47" s="15"/>
      <c r="L47" s="16" t="s">
        <v>5</v>
      </c>
      <c r="M47" s="14"/>
    </row>
    <row r="48" customFormat="false" ht="35.05" hidden="false" customHeight="false" outlineLevel="0" collapsed="false">
      <c r="A48" s="13" t="s">
        <v>250</v>
      </c>
      <c r="B48" s="13" t="s">
        <v>17</v>
      </c>
      <c r="C48" s="10" t="s">
        <v>22</v>
      </c>
      <c r="D48" s="10" t="s">
        <v>38</v>
      </c>
      <c r="E48" s="10" t="s">
        <v>251</v>
      </c>
      <c r="F48" s="10" t="s">
        <v>252</v>
      </c>
      <c r="G48" s="10"/>
      <c r="H48" s="10" t="s">
        <v>253</v>
      </c>
      <c r="I48" s="10"/>
      <c r="J48" s="14"/>
      <c r="K48" s="15"/>
      <c r="L48" s="16" t="s">
        <v>5</v>
      </c>
      <c r="M48" s="14"/>
    </row>
    <row r="49" customFormat="false" ht="23.85" hidden="false" customHeight="false" outlineLevel="0" collapsed="false">
      <c r="A49" s="13" t="s">
        <v>254</v>
      </c>
      <c r="B49" s="13" t="s">
        <v>18</v>
      </c>
      <c r="C49" s="10" t="s">
        <v>30</v>
      </c>
      <c r="D49" s="10" t="s">
        <v>38</v>
      </c>
      <c r="E49" s="10" t="s">
        <v>255</v>
      </c>
      <c r="F49" s="10" t="s">
        <v>256</v>
      </c>
      <c r="G49" s="10"/>
      <c r="H49" s="10" t="s">
        <v>257</v>
      </c>
      <c r="I49" s="10" t="s">
        <v>258</v>
      </c>
      <c r="J49" s="14"/>
      <c r="K49" s="15"/>
      <c r="L49" s="16" t="s">
        <v>5</v>
      </c>
      <c r="M49" s="14"/>
    </row>
    <row r="50" customFormat="false" ht="15" hidden="false" customHeight="false" outlineLevel="0" collapsed="false">
      <c r="A50" s="13" t="s">
        <v>259</v>
      </c>
      <c r="B50" s="13" t="s">
        <v>18</v>
      </c>
      <c r="C50" s="10" t="s">
        <v>30</v>
      </c>
      <c r="D50" s="10" t="s">
        <v>38</v>
      </c>
      <c r="E50" s="10" t="s">
        <v>260</v>
      </c>
      <c r="F50" s="10" t="s">
        <v>261</v>
      </c>
      <c r="G50" s="10"/>
      <c r="H50" s="10" t="s">
        <v>262</v>
      </c>
      <c r="I50" s="10" t="s">
        <v>263</v>
      </c>
      <c r="J50" s="14"/>
      <c r="K50" s="15"/>
      <c r="L50" s="16" t="s">
        <v>5</v>
      </c>
      <c r="M50" s="14"/>
    </row>
    <row r="51" customFormat="false" ht="15" hidden="false" customHeight="false" outlineLevel="0" collapsed="false">
      <c r="A51" s="13" t="s">
        <v>264</v>
      </c>
      <c r="B51" s="13" t="s">
        <v>19</v>
      </c>
      <c r="C51" s="10" t="s">
        <v>30</v>
      </c>
      <c r="D51" s="10" t="s">
        <v>38</v>
      </c>
      <c r="E51" s="10" t="s">
        <v>255</v>
      </c>
      <c r="F51" s="10" t="s">
        <v>265</v>
      </c>
      <c r="G51" s="10"/>
      <c r="H51" s="10" t="s">
        <v>266</v>
      </c>
      <c r="I51" s="10" t="s">
        <v>267</v>
      </c>
      <c r="J51" s="14"/>
      <c r="K51" s="15"/>
      <c r="L51" s="16" t="s">
        <v>5</v>
      </c>
      <c r="M51" s="14"/>
    </row>
    <row r="52" customFormat="false" ht="23.85" hidden="false" customHeight="false" outlineLevel="0" collapsed="false">
      <c r="A52" s="13" t="s">
        <v>268</v>
      </c>
      <c r="B52" s="13" t="s">
        <v>18</v>
      </c>
      <c r="C52" s="10" t="s">
        <v>30</v>
      </c>
      <c r="D52" s="10" t="s">
        <v>38</v>
      </c>
      <c r="E52" s="10" t="s">
        <v>201</v>
      </c>
      <c r="F52" s="10" t="s">
        <v>269</v>
      </c>
      <c r="G52" s="10"/>
      <c r="H52" s="10" t="s">
        <v>270</v>
      </c>
      <c r="I52" s="10" t="s">
        <v>271</v>
      </c>
      <c r="J52" s="14"/>
      <c r="K52" s="15"/>
      <c r="L52" s="16" t="s">
        <v>5</v>
      </c>
      <c r="M52" s="14"/>
    </row>
    <row r="53" customFormat="false" ht="23.85" hidden="false" customHeight="false" outlineLevel="0" collapsed="false">
      <c r="A53" s="13" t="s">
        <v>272</v>
      </c>
      <c r="B53" s="13" t="s">
        <v>18</v>
      </c>
      <c r="C53" s="10" t="s">
        <v>30</v>
      </c>
      <c r="D53" s="10" t="s">
        <v>38</v>
      </c>
      <c r="E53" s="10" t="s">
        <v>201</v>
      </c>
      <c r="F53" s="10" t="s">
        <v>273</v>
      </c>
      <c r="G53" s="10"/>
      <c r="H53" s="10" t="s">
        <v>274</v>
      </c>
      <c r="I53" s="10"/>
      <c r="J53" s="14"/>
      <c r="K53" s="15"/>
      <c r="L53" s="16" t="s">
        <v>5</v>
      </c>
      <c r="M53" s="14"/>
    </row>
    <row r="54" customFormat="false" ht="35.05" hidden="false" customHeight="false" outlineLevel="0" collapsed="false">
      <c r="A54" s="13" t="s">
        <v>154</v>
      </c>
      <c r="B54" s="13" t="s">
        <v>17</v>
      </c>
      <c r="C54" s="10" t="s">
        <v>28</v>
      </c>
      <c r="D54" s="10" t="s">
        <v>39</v>
      </c>
      <c r="E54" s="10" t="s">
        <v>275</v>
      </c>
      <c r="F54" s="10" t="s">
        <v>276</v>
      </c>
      <c r="G54" s="10"/>
      <c r="H54" s="10" t="s">
        <v>277</v>
      </c>
      <c r="I54" s="10"/>
      <c r="J54" s="14"/>
      <c r="K54" s="15"/>
      <c r="L54" s="16" t="s">
        <v>5</v>
      </c>
      <c r="M54" s="14"/>
    </row>
    <row r="55" customFormat="false" ht="23.85" hidden="false" customHeight="false" outlineLevel="0" collapsed="false">
      <c r="A55" s="13" t="s">
        <v>278</v>
      </c>
      <c r="B55" s="13" t="s">
        <v>18</v>
      </c>
      <c r="C55" s="10" t="s">
        <v>28</v>
      </c>
      <c r="D55" s="10" t="s">
        <v>39</v>
      </c>
      <c r="E55" s="10" t="s">
        <v>279</v>
      </c>
      <c r="F55" s="10" t="s">
        <v>280</v>
      </c>
      <c r="G55" s="10"/>
      <c r="H55" s="10" t="s">
        <v>281</v>
      </c>
      <c r="I55" s="10"/>
      <c r="J55" s="14"/>
      <c r="K55" s="15"/>
      <c r="L55" s="16" t="s">
        <v>5</v>
      </c>
      <c r="M55" s="14"/>
    </row>
    <row r="56" customFormat="false" ht="23.85" hidden="false" customHeight="false" outlineLevel="0" collapsed="false">
      <c r="A56" s="13" t="s">
        <v>282</v>
      </c>
      <c r="B56" s="13" t="s">
        <v>17</v>
      </c>
      <c r="C56" s="10" t="s">
        <v>32</v>
      </c>
      <c r="D56" s="10" t="s">
        <v>39</v>
      </c>
      <c r="E56" s="10" t="s">
        <v>283</v>
      </c>
      <c r="F56" s="10" t="s">
        <v>284</v>
      </c>
      <c r="G56" s="10"/>
      <c r="H56" s="10" t="s">
        <v>285</v>
      </c>
      <c r="I56" s="10"/>
      <c r="J56" s="14"/>
      <c r="K56" s="15"/>
      <c r="L56" s="16" t="s">
        <v>5</v>
      </c>
      <c r="M56" s="14"/>
    </row>
    <row r="57" customFormat="false" ht="23.85" hidden="false" customHeight="false" outlineLevel="0" collapsed="false">
      <c r="A57" s="13" t="s">
        <v>286</v>
      </c>
      <c r="B57" s="13" t="s">
        <v>18</v>
      </c>
      <c r="C57" s="10" t="s">
        <v>32</v>
      </c>
      <c r="D57" s="10" t="s">
        <v>39</v>
      </c>
      <c r="E57" s="10" t="s">
        <v>287</v>
      </c>
      <c r="F57" s="10" t="s">
        <v>288</v>
      </c>
      <c r="G57" s="10"/>
      <c r="H57" s="10" t="s">
        <v>289</v>
      </c>
      <c r="I57" s="10"/>
      <c r="J57" s="14"/>
      <c r="K57" s="15"/>
      <c r="L57" s="16" t="s">
        <v>5</v>
      </c>
      <c r="M57" s="14"/>
    </row>
    <row r="58" customFormat="false" ht="23.85" hidden="false" customHeight="false" outlineLevel="0" collapsed="false">
      <c r="A58" s="13" t="s">
        <v>290</v>
      </c>
      <c r="B58" s="13" t="s">
        <v>19</v>
      </c>
      <c r="C58" s="10" t="s">
        <v>32</v>
      </c>
      <c r="D58" s="10" t="s">
        <v>39</v>
      </c>
      <c r="E58" s="10" t="s">
        <v>291</v>
      </c>
      <c r="F58" s="10" t="s">
        <v>292</v>
      </c>
      <c r="G58" s="10"/>
      <c r="H58" s="10" t="s">
        <v>293</v>
      </c>
      <c r="I58" s="10" t="s">
        <v>282</v>
      </c>
      <c r="J58" s="14"/>
      <c r="K58" s="15"/>
      <c r="L58" s="16" t="s">
        <v>5</v>
      </c>
      <c r="M58" s="14"/>
    </row>
    <row r="59" customFormat="false" ht="23.85" hidden="false" customHeight="false" outlineLevel="0" collapsed="false">
      <c r="A59" s="13" t="s">
        <v>294</v>
      </c>
      <c r="B59" s="13" t="s">
        <v>17</v>
      </c>
      <c r="C59" s="10" t="s">
        <v>22</v>
      </c>
      <c r="D59" s="10" t="s">
        <v>40</v>
      </c>
      <c r="E59" s="10" t="s">
        <v>295</v>
      </c>
      <c r="F59" s="10" t="s">
        <v>296</v>
      </c>
      <c r="G59" s="10"/>
      <c r="H59" s="10" t="s">
        <v>297</v>
      </c>
      <c r="I59" s="10"/>
      <c r="J59" s="14"/>
      <c r="K59" s="15"/>
      <c r="L59" s="16" t="s">
        <v>5</v>
      </c>
      <c r="M59" s="14"/>
    </row>
    <row r="60" customFormat="false" ht="23.85" hidden="false" customHeight="false" outlineLevel="0" collapsed="false">
      <c r="A60" s="13" t="s">
        <v>298</v>
      </c>
      <c r="B60" s="13" t="s">
        <v>18</v>
      </c>
      <c r="C60" s="10" t="s">
        <v>32</v>
      </c>
      <c r="D60" s="10" t="s">
        <v>40</v>
      </c>
      <c r="E60" s="10" t="s">
        <v>295</v>
      </c>
      <c r="F60" s="10" t="s">
        <v>299</v>
      </c>
      <c r="G60" s="10"/>
      <c r="H60" s="10" t="s">
        <v>300</v>
      </c>
      <c r="I60" s="10" t="s">
        <v>294</v>
      </c>
      <c r="J60" s="14"/>
      <c r="K60" s="15"/>
      <c r="L60" s="16" t="s">
        <v>5</v>
      </c>
      <c r="M60" s="14"/>
    </row>
    <row r="61" customFormat="false" ht="23.85" hidden="false" customHeight="false" outlineLevel="0" collapsed="false">
      <c r="A61" s="13" t="s">
        <v>301</v>
      </c>
      <c r="B61" s="13" t="s">
        <v>19</v>
      </c>
      <c r="C61" s="10" t="s">
        <v>26</v>
      </c>
      <c r="D61" s="10" t="s">
        <v>40</v>
      </c>
      <c r="E61" s="10" t="s">
        <v>125</v>
      </c>
      <c r="F61" s="10" t="s">
        <v>302</v>
      </c>
      <c r="G61" s="10"/>
      <c r="H61" s="10" t="s">
        <v>303</v>
      </c>
      <c r="I61" s="10"/>
      <c r="J61" s="14"/>
      <c r="K61" s="15"/>
      <c r="L61" s="16" t="s">
        <v>5</v>
      </c>
      <c r="M61" s="14"/>
    </row>
    <row r="62" customFormat="false" ht="23.85" hidden="false" customHeight="false" outlineLevel="0" collapsed="false">
      <c r="A62" s="13" t="s">
        <v>304</v>
      </c>
      <c r="B62" s="13" t="s">
        <v>18</v>
      </c>
      <c r="C62" s="10" t="s">
        <v>26</v>
      </c>
      <c r="D62" s="10" t="s">
        <v>40</v>
      </c>
      <c r="E62" s="10" t="s">
        <v>305</v>
      </c>
      <c r="F62" s="10" t="s">
        <v>306</v>
      </c>
      <c r="G62" s="10"/>
      <c r="H62" s="10" t="s">
        <v>307</v>
      </c>
      <c r="I62" s="10"/>
      <c r="J62" s="14"/>
      <c r="K62" s="15"/>
      <c r="L62" s="16" t="s">
        <v>5</v>
      </c>
      <c r="M62" s="14"/>
    </row>
    <row r="63" customFormat="false" ht="35.05" hidden="false" customHeight="false" outlineLevel="0" collapsed="false">
      <c r="A63" s="13" t="s">
        <v>308</v>
      </c>
      <c r="B63" s="13" t="s">
        <v>17</v>
      </c>
      <c r="C63" s="10" t="s">
        <v>22</v>
      </c>
      <c r="D63" s="10" t="s">
        <v>41</v>
      </c>
      <c r="E63" s="10" t="s">
        <v>309</v>
      </c>
      <c r="F63" s="10" t="s">
        <v>310</v>
      </c>
      <c r="G63" s="10"/>
      <c r="H63" s="10" t="s">
        <v>311</v>
      </c>
      <c r="I63" s="10"/>
      <c r="J63" s="14"/>
      <c r="K63" s="15"/>
      <c r="L63" s="16" t="s">
        <v>5</v>
      </c>
      <c r="M63" s="14"/>
    </row>
    <row r="64" customFormat="false" ht="23.85" hidden="false" customHeight="false" outlineLevel="0" collapsed="false">
      <c r="A64" s="13" t="s">
        <v>312</v>
      </c>
      <c r="B64" s="13" t="s">
        <v>17</v>
      </c>
      <c r="C64" s="10" t="s">
        <v>22</v>
      </c>
      <c r="D64" s="10" t="s">
        <v>41</v>
      </c>
      <c r="E64" s="10" t="s">
        <v>313</v>
      </c>
      <c r="F64" s="10" t="s">
        <v>314</v>
      </c>
      <c r="G64" s="10"/>
      <c r="H64" s="10" t="s">
        <v>315</v>
      </c>
      <c r="I64" s="10"/>
      <c r="J64" s="14"/>
      <c r="K64" s="15"/>
      <c r="L64" s="16" t="s">
        <v>5</v>
      </c>
      <c r="M64" s="14"/>
    </row>
    <row r="65" customFormat="false" ht="23.85" hidden="false" customHeight="false" outlineLevel="0" collapsed="false">
      <c r="A65" s="13" t="s">
        <v>316</v>
      </c>
      <c r="B65" s="13" t="s">
        <v>17</v>
      </c>
      <c r="C65" s="10" t="s">
        <v>22</v>
      </c>
      <c r="D65" s="10" t="s">
        <v>41</v>
      </c>
      <c r="E65" s="10" t="s">
        <v>317</v>
      </c>
      <c r="F65" s="10" t="s">
        <v>318</v>
      </c>
      <c r="G65" s="10"/>
      <c r="H65" s="10" t="s">
        <v>319</v>
      </c>
      <c r="I65" s="10"/>
      <c r="J65" s="14"/>
      <c r="K65" s="15"/>
      <c r="L65" s="16" t="s">
        <v>5</v>
      </c>
      <c r="M65" s="14"/>
    </row>
    <row r="66" customFormat="false" ht="15" hidden="false" customHeight="false" outlineLevel="0" collapsed="false">
      <c r="A66" s="13" t="s">
        <v>320</v>
      </c>
      <c r="B66" s="13" t="s">
        <v>18</v>
      </c>
      <c r="C66" s="10" t="s">
        <v>22</v>
      </c>
      <c r="D66" s="10" t="s">
        <v>41</v>
      </c>
      <c r="E66" s="10" t="s">
        <v>321</v>
      </c>
      <c r="F66" s="10" t="s">
        <v>322</v>
      </c>
      <c r="G66" s="10"/>
      <c r="H66" s="10" t="s">
        <v>323</v>
      </c>
      <c r="I66" s="10"/>
      <c r="J66" s="14"/>
      <c r="K66" s="15"/>
      <c r="L66" s="16" t="s">
        <v>5</v>
      </c>
      <c r="M66" s="14"/>
    </row>
    <row r="67" customFormat="false" ht="23.85" hidden="false" customHeight="false" outlineLevel="0" collapsed="false">
      <c r="A67" s="13" t="s">
        <v>324</v>
      </c>
      <c r="B67" s="13" t="s">
        <v>18</v>
      </c>
      <c r="C67" s="10" t="s">
        <v>24</v>
      </c>
      <c r="D67" s="10" t="s">
        <v>41</v>
      </c>
      <c r="E67" s="10" t="s">
        <v>325</v>
      </c>
      <c r="F67" s="10" t="s">
        <v>326</v>
      </c>
      <c r="G67" s="10"/>
      <c r="H67" s="10" t="s">
        <v>327</v>
      </c>
      <c r="I67" s="10" t="s">
        <v>129</v>
      </c>
      <c r="J67" s="14"/>
      <c r="K67" s="15"/>
      <c r="L67" s="16" t="s">
        <v>5</v>
      </c>
      <c r="M67" s="14"/>
    </row>
    <row r="68" customFormat="false" ht="23.85" hidden="false" customHeight="false" outlineLevel="0" collapsed="false">
      <c r="A68" s="13" t="s">
        <v>328</v>
      </c>
      <c r="B68" s="13" t="s">
        <v>18</v>
      </c>
      <c r="C68" s="10" t="s">
        <v>26</v>
      </c>
      <c r="D68" s="10" t="s">
        <v>41</v>
      </c>
      <c r="E68" s="10" t="s">
        <v>329</v>
      </c>
      <c r="F68" s="10" t="s">
        <v>330</v>
      </c>
      <c r="G68" s="10"/>
      <c r="H68" s="10" t="s">
        <v>331</v>
      </c>
      <c r="I68" s="10"/>
      <c r="J68" s="14"/>
      <c r="K68" s="15"/>
      <c r="L68" s="16" t="s">
        <v>5</v>
      </c>
      <c r="M68" s="14"/>
    </row>
    <row r="69" customFormat="false" ht="23.85" hidden="false" customHeight="false" outlineLevel="0" collapsed="false">
      <c r="A69" s="13" t="s">
        <v>332</v>
      </c>
      <c r="B69" s="13" t="s">
        <v>18</v>
      </c>
      <c r="C69" s="10" t="s">
        <v>22</v>
      </c>
      <c r="D69" s="10" t="s">
        <v>41</v>
      </c>
      <c r="E69" s="10" t="s">
        <v>201</v>
      </c>
      <c r="F69" s="10" t="s">
        <v>333</v>
      </c>
      <c r="G69" s="10"/>
      <c r="H69" s="10" t="s">
        <v>334</v>
      </c>
      <c r="I69" s="10"/>
      <c r="J69" s="14"/>
      <c r="K69" s="15"/>
      <c r="L69" s="16" t="s">
        <v>5</v>
      </c>
      <c r="M69" s="14"/>
    </row>
    <row r="70" customFormat="false" ht="23.85" hidden="false" customHeight="false" outlineLevel="0" collapsed="false">
      <c r="A70" s="13" t="s">
        <v>271</v>
      </c>
      <c r="B70" s="13" t="s">
        <v>17</v>
      </c>
      <c r="C70" s="10" t="s">
        <v>22</v>
      </c>
      <c r="D70" s="10" t="s">
        <v>41</v>
      </c>
      <c r="E70" s="10" t="s">
        <v>335</v>
      </c>
      <c r="F70" s="10" t="s">
        <v>336</v>
      </c>
      <c r="G70" s="10"/>
      <c r="H70" s="10" t="s">
        <v>337</v>
      </c>
      <c r="I70" s="10"/>
      <c r="J70" s="14"/>
      <c r="K70" s="15"/>
      <c r="L70" s="16" t="s">
        <v>5</v>
      </c>
      <c r="M70" s="14"/>
    </row>
    <row r="71" customFormat="false" ht="23.85" hidden="false" customHeight="false" outlineLevel="0" collapsed="false">
      <c r="A71" s="13" t="s">
        <v>338</v>
      </c>
      <c r="B71" s="13" t="s">
        <v>18</v>
      </c>
      <c r="C71" s="10" t="s">
        <v>22</v>
      </c>
      <c r="D71" s="10" t="s">
        <v>41</v>
      </c>
      <c r="E71" s="10" t="s">
        <v>339</v>
      </c>
      <c r="F71" s="10" t="s">
        <v>340</v>
      </c>
      <c r="G71" s="10"/>
      <c r="H71" s="10" t="s">
        <v>341</v>
      </c>
      <c r="I71" s="10"/>
      <c r="J71" s="14"/>
      <c r="K71" s="15"/>
      <c r="L71" s="16" t="s">
        <v>5</v>
      </c>
      <c r="M71" s="14"/>
    </row>
    <row r="72" customFormat="false" ht="15" hidden="false" customHeight="false" outlineLevel="0" collapsed="false">
      <c r="A72" s="13" t="s">
        <v>342</v>
      </c>
      <c r="B72" s="13" t="s">
        <v>19</v>
      </c>
      <c r="C72" s="10" t="s">
        <v>22</v>
      </c>
      <c r="D72" s="10" t="s">
        <v>41</v>
      </c>
      <c r="E72" s="10" t="s">
        <v>343</v>
      </c>
      <c r="F72" s="10" t="s">
        <v>344</v>
      </c>
      <c r="G72" s="10"/>
      <c r="H72" s="10" t="s">
        <v>345</v>
      </c>
      <c r="I72" s="10"/>
      <c r="J72" s="14"/>
      <c r="K72" s="15"/>
      <c r="L72" s="16" t="s">
        <v>5</v>
      </c>
      <c r="M72" s="14"/>
    </row>
    <row r="73" customFormat="false" ht="23.85" hidden="false" customHeight="false" outlineLevel="0" collapsed="false">
      <c r="A73" s="13" t="s">
        <v>346</v>
      </c>
      <c r="B73" s="13" t="s">
        <v>19</v>
      </c>
      <c r="C73" s="10" t="s">
        <v>22</v>
      </c>
      <c r="D73" s="10" t="s">
        <v>41</v>
      </c>
      <c r="E73" s="10" t="s">
        <v>217</v>
      </c>
      <c r="F73" s="10" t="s">
        <v>347</v>
      </c>
      <c r="G73" s="10"/>
      <c r="H73" s="10" t="s">
        <v>348</v>
      </c>
      <c r="I73" s="10"/>
      <c r="J73" s="14"/>
      <c r="K73" s="15"/>
      <c r="L73" s="16" t="s">
        <v>5</v>
      </c>
      <c r="M73" s="14"/>
    </row>
  </sheetData>
  <autoFilter ref="A6:M73"/>
  <mergeCells count="1">
    <mergeCell ref="A3:M3"/>
  </mergeCells>
  <conditionalFormatting sqref="B7:B73">
    <cfRule type="cellIs" priority="2" operator="equal" aboveAverage="0" equalAverage="0" bottom="0" percent="0" rank="0" text="" dxfId="8">
      <formula>"High"</formula>
    </cfRule>
    <cfRule type="cellIs" priority="3" operator="equal" aboveAverage="0" equalAverage="0" bottom="0" percent="0" rank="0" text="" dxfId="9">
      <formula>"Medium"</formula>
    </cfRule>
    <cfRule type="cellIs" priority="4" operator="equal" aboveAverage="0" equalAverage="0" bottom="0" percent="0" rank="0" text="" dxfId="10">
      <formula>"Low"</formula>
    </cfRule>
  </conditionalFormatting>
  <conditionalFormatting sqref="L7:L73">
    <cfRule type="cellIs" priority="5" operator="equal" aboveAverage="0" equalAverage="0" bottom="0" percent="0" rank="0" text="" dxfId="10">
      <formula>"Done"</formula>
    </cfRule>
    <cfRule type="cellIs" priority="6" operator="equal" aboveAverage="0" equalAverage="0" bottom="0" percent="0" rank="0" text="" dxfId="8">
      <formula>"Blocked"</formula>
    </cfRule>
    <cfRule type="cellIs" priority="7" operator="equal" aboveAverage="0" equalAverage="0" bottom="0" percent="0" rank="0" text="" dxfId="11">
      <formula>"In progress"</formula>
    </cfRule>
  </conditionalFormatting>
  <dataValidations count="3">
    <dataValidation allowBlank="false" error="Status must be Not started, In progress, Blocked or Done." errorStyle="stop" errorTitle="Pick from the list" operator="between" showDropDown="false" showErrorMessage="true" showInputMessage="false" sqref="L7:L73" type="list">
      <formula1>"Not started,In progress,Blocked,Done"</formula1>
      <formula2>0</formula2>
    </dataValidation>
    <dataValidation allowBlank="false" error="Priority must be High, Medium or Low." errorStyle="stop" errorTitle="Pick from the list" operator="between" showDropDown="false" showErrorMessage="true" showInputMessage="false" sqref="B7:B73" type="list">
      <formula1>"High,Medium,Low"</formula1>
      <formula2>0</formula2>
    </dataValidation>
    <dataValidation allowBlank="true" error="Enter a date, e.g. 30 Sep 2026." errorStyle="stop" errorTitle="Date needed" operator="greaterThan" showDropDown="false" showErrorMessage="true" showInputMessage="false" sqref="K7:K73" type="date">
      <formula1>46000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8"/>
    <col collapsed="false" customWidth="true" hidden="false" outlineLevel="0" max="3" min="3" style="0" width="56"/>
    <col collapsed="false" customWidth="true" hidden="false" outlineLevel="0" max="4" min="4" style="0" width="32"/>
    <col collapsed="false" customWidth="true" hidden="false" outlineLevel="0" max="5" min="5" style="0" width="14"/>
    <col collapsed="false" customWidth="true" hidden="false" outlineLevel="0" max="6" min="6" style="0" width="42"/>
  </cols>
  <sheetData>
    <row r="1" customFormat="false" ht="17.35" hidden="false" customHeight="false" outlineLevel="0" collapsed="false">
      <c r="A1" s="1" t="s">
        <v>349</v>
      </c>
    </row>
    <row r="2" customFormat="false" ht="15" hidden="false" customHeight="false" outlineLevel="0" collapsed="false">
      <c r="A2" s="2" t="s">
        <v>350</v>
      </c>
    </row>
    <row r="4" customFormat="false" ht="15" hidden="false" customHeight="false" outlineLevel="0" collapsed="false">
      <c r="A4" s="5" t="s">
        <v>351</v>
      </c>
      <c r="B4" s="5" t="s">
        <v>352</v>
      </c>
      <c r="C4" s="5" t="s">
        <v>353</v>
      </c>
      <c r="D4" s="5" t="s">
        <v>354</v>
      </c>
      <c r="E4" s="5" t="s">
        <v>355</v>
      </c>
      <c r="F4" s="5" t="s">
        <v>356</v>
      </c>
    </row>
    <row r="5" customFormat="false" ht="23.85" hidden="false" customHeight="false" outlineLevel="0" collapsed="false">
      <c r="A5" s="17" t="s">
        <v>357</v>
      </c>
      <c r="B5" s="10" t="s">
        <v>358</v>
      </c>
      <c r="C5" s="10" t="s">
        <v>359</v>
      </c>
      <c r="D5" s="10" t="s">
        <v>360</v>
      </c>
      <c r="E5" s="10" t="s">
        <v>56</v>
      </c>
      <c r="F5" s="14"/>
    </row>
    <row r="6" customFormat="false" ht="23.85" hidden="false" customHeight="false" outlineLevel="0" collapsed="false">
      <c r="A6" s="17" t="s">
        <v>361</v>
      </c>
      <c r="B6" s="10" t="s">
        <v>362</v>
      </c>
      <c r="C6" s="10" t="s">
        <v>363</v>
      </c>
      <c r="D6" s="10" t="s">
        <v>360</v>
      </c>
      <c r="E6" s="10" t="s">
        <v>61</v>
      </c>
      <c r="F6" s="14"/>
    </row>
    <row r="7" customFormat="false" ht="23.85" hidden="false" customHeight="false" outlineLevel="0" collapsed="false">
      <c r="A7" s="17" t="s">
        <v>364</v>
      </c>
      <c r="B7" s="10" t="s">
        <v>365</v>
      </c>
      <c r="C7" s="10" t="s">
        <v>366</v>
      </c>
      <c r="D7" s="10" t="s">
        <v>360</v>
      </c>
      <c r="E7" s="10" t="s">
        <v>61</v>
      </c>
      <c r="F7" s="14"/>
    </row>
    <row r="8" customFormat="false" ht="23.85" hidden="false" customHeight="false" outlineLevel="0" collapsed="false">
      <c r="A8" s="17" t="s">
        <v>367</v>
      </c>
      <c r="B8" s="10" t="s">
        <v>368</v>
      </c>
      <c r="C8" s="10" t="s">
        <v>369</v>
      </c>
      <c r="D8" s="10" t="s">
        <v>370</v>
      </c>
      <c r="E8" s="10" t="s">
        <v>371</v>
      </c>
      <c r="F8" s="14"/>
    </row>
    <row r="9" customFormat="false" ht="23.85" hidden="false" customHeight="false" outlineLevel="0" collapsed="false">
      <c r="A9" s="17" t="s">
        <v>372</v>
      </c>
      <c r="B9" s="10" t="s">
        <v>373</v>
      </c>
      <c r="C9" s="10" t="s">
        <v>374</v>
      </c>
      <c r="D9" s="10" t="s">
        <v>375</v>
      </c>
      <c r="E9" s="10" t="s">
        <v>69</v>
      </c>
      <c r="F9" s="14"/>
    </row>
    <row r="10" customFormat="false" ht="35.05" hidden="false" customHeight="false" outlineLevel="0" collapsed="false">
      <c r="A10" s="17" t="s">
        <v>376</v>
      </c>
      <c r="B10" s="10" t="s">
        <v>377</v>
      </c>
      <c r="C10" s="10" t="s">
        <v>378</v>
      </c>
      <c r="D10" s="10" t="s">
        <v>379</v>
      </c>
      <c r="E10" s="10" t="s">
        <v>380</v>
      </c>
      <c r="F10" s="14"/>
    </row>
    <row r="11" customFormat="false" ht="23.85" hidden="false" customHeight="false" outlineLevel="0" collapsed="false">
      <c r="A11" s="17" t="s">
        <v>381</v>
      </c>
      <c r="B11" s="10" t="s">
        <v>382</v>
      </c>
      <c r="C11" s="10" t="s">
        <v>383</v>
      </c>
      <c r="D11" s="10" t="s">
        <v>384</v>
      </c>
      <c r="E11" s="10" t="s">
        <v>385</v>
      </c>
      <c r="F11" s="14"/>
    </row>
    <row r="12" customFormat="false" ht="15" hidden="false" customHeight="false" outlineLevel="0" collapsed="false">
      <c r="A12" s="17" t="s">
        <v>386</v>
      </c>
      <c r="B12" s="10" t="s">
        <v>387</v>
      </c>
      <c r="C12" s="10" t="s">
        <v>388</v>
      </c>
      <c r="D12" s="10" t="s">
        <v>389</v>
      </c>
      <c r="E12" s="10" t="s">
        <v>83</v>
      </c>
      <c r="F12" s="14"/>
    </row>
    <row r="13" customFormat="false" ht="35.05" hidden="false" customHeight="false" outlineLevel="0" collapsed="false">
      <c r="A13" s="17" t="s">
        <v>390</v>
      </c>
      <c r="B13" s="10" t="s">
        <v>391</v>
      </c>
      <c r="C13" s="10" t="s">
        <v>392</v>
      </c>
      <c r="D13" s="10" t="s">
        <v>393</v>
      </c>
      <c r="E13" s="10" t="s">
        <v>394</v>
      </c>
      <c r="F13" s="14"/>
    </row>
    <row r="14" customFormat="false" ht="23.85" hidden="false" customHeight="false" outlineLevel="0" collapsed="false">
      <c r="A14" s="17" t="s">
        <v>325</v>
      </c>
      <c r="B14" s="10" t="s">
        <v>395</v>
      </c>
      <c r="C14" s="10" t="s">
        <v>396</v>
      </c>
      <c r="D14" s="10" t="s">
        <v>397</v>
      </c>
      <c r="E14" s="10" t="s">
        <v>398</v>
      </c>
      <c r="F14"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3" min="3" style="0" width="40"/>
    <col collapsed="false" customWidth="true" hidden="false" outlineLevel="0" max="4" min="4" style="0" width="36"/>
    <col collapsed="false" customWidth="true" hidden="false" outlineLevel="0" max="5" min="5" style="0" width="68"/>
    <col collapsed="false" customWidth="true" hidden="false" outlineLevel="0" max="6" min="6" style="0" width="36"/>
    <col collapsed="false" customWidth="true" hidden="false" outlineLevel="0" max="7" min="7" style="0" width="11"/>
    <col collapsed="false" customWidth="true" hidden="false" outlineLevel="0" max="8" min="8" style="0" width="22"/>
    <col collapsed="false" customWidth="true" hidden="false" outlineLevel="0" max="9" min="9" style="0" width="26"/>
  </cols>
  <sheetData>
    <row r="1" customFormat="false" ht="17.35" hidden="false" customHeight="false" outlineLevel="0" collapsed="false">
      <c r="A1" s="1" t="s">
        <v>399</v>
      </c>
    </row>
    <row r="2" customFormat="false" ht="15" hidden="false" customHeight="false" outlineLevel="0" collapsed="false">
      <c r="A2" s="2" t="s">
        <v>400</v>
      </c>
    </row>
    <row r="4" customFormat="false" ht="15" hidden="false" customHeight="false" outlineLevel="0" collapsed="false">
      <c r="A4" s="5" t="s">
        <v>401</v>
      </c>
      <c r="B4" s="5" t="s">
        <v>402</v>
      </c>
      <c r="C4" s="5" t="s">
        <v>403</v>
      </c>
      <c r="D4" s="5" t="s">
        <v>404</v>
      </c>
      <c r="E4" s="5" t="s">
        <v>405</v>
      </c>
      <c r="F4" s="5" t="s">
        <v>406</v>
      </c>
      <c r="G4" s="5" t="s">
        <v>407</v>
      </c>
      <c r="H4" s="5" t="s">
        <v>52</v>
      </c>
      <c r="I4" s="5" t="s">
        <v>55</v>
      </c>
    </row>
    <row r="5" customFormat="false" ht="46.25" hidden="false" customHeight="false" outlineLevel="0" collapsed="false">
      <c r="A5" s="13" t="n">
        <v>1</v>
      </c>
      <c r="B5" s="10" t="s">
        <v>408</v>
      </c>
      <c r="C5" s="10" t="s">
        <v>409</v>
      </c>
      <c r="D5" s="10" t="s">
        <v>410</v>
      </c>
      <c r="E5" s="10" t="s">
        <v>411</v>
      </c>
      <c r="F5" s="10" t="s">
        <v>412</v>
      </c>
      <c r="G5" s="13" t="s">
        <v>138</v>
      </c>
      <c r="H5" s="10" t="s">
        <v>143</v>
      </c>
      <c r="I5" s="14"/>
    </row>
    <row r="6" customFormat="false" ht="23.85" hidden="false" customHeight="false" outlineLevel="0" collapsed="false">
      <c r="A6" s="13" t="n">
        <v>2</v>
      </c>
      <c r="B6" s="10" t="s">
        <v>413</v>
      </c>
      <c r="C6" s="10" t="s">
        <v>414</v>
      </c>
      <c r="D6" s="10" t="s">
        <v>415</v>
      </c>
      <c r="E6" s="10" t="s">
        <v>416</v>
      </c>
      <c r="F6" s="10" t="s">
        <v>417</v>
      </c>
      <c r="G6" s="13" t="s">
        <v>144</v>
      </c>
      <c r="H6" s="10" t="s">
        <v>124</v>
      </c>
      <c r="I6" s="14"/>
    </row>
    <row r="7" customFormat="false" ht="23.85" hidden="false" customHeight="false" outlineLevel="0" collapsed="false">
      <c r="A7" s="13" t="n">
        <v>3</v>
      </c>
      <c r="B7" s="10" t="s">
        <v>418</v>
      </c>
      <c r="C7" s="10" t="s">
        <v>419</v>
      </c>
      <c r="D7" s="10" t="s">
        <v>420</v>
      </c>
      <c r="E7" s="10" t="s">
        <v>421</v>
      </c>
      <c r="F7" s="10" t="s">
        <v>422</v>
      </c>
      <c r="G7" s="13" t="s">
        <v>149</v>
      </c>
      <c r="H7" s="10" t="s">
        <v>154</v>
      </c>
      <c r="I7" s="14"/>
    </row>
    <row r="8" customFormat="false" ht="23.85" hidden="false" customHeight="false" outlineLevel="0" collapsed="false">
      <c r="A8" s="13" t="n">
        <v>4</v>
      </c>
      <c r="B8" s="10" t="s">
        <v>423</v>
      </c>
      <c r="C8" s="10" t="s">
        <v>424</v>
      </c>
      <c r="D8" s="10" t="s">
        <v>425</v>
      </c>
      <c r="E8" s="10" t="s">
        <v>426</v>
      </c>
      <c r="F8" s="10" t="s">
        <v>427</v>
      </c>
      <c r="G8" s="13" t="s">
        <v>155</v>
      </c>
      <c r="H8" s="10" t="s">
        <v>160</v>
      </c>
      <c r="I8" s="14"/>
    </row>
    <row r="9" customFormat="false" ht="23.85" hidden="false" customHeight="false" outlineLevel="0" collapsed="false">
      <c r="A9" s="13" t="n">
        <v>5</v>
      </c>
      <c r="B9" s="10" t="s">
        <v>428</v>
      </c>
      <c r="C9" s="10" t="s">
        <v>429</v>
      </c>
      <c r="D9" s="10" t="s">
        <v>430</v>
      </c>
      <c r="E9" s="10" t="s">
        <v>431</v>
      </c>
      <c r="F9" s="10" t="s">
        <v>432</v>
      </c>
      <c r="G9" s="13" t="s">
        <v>161</v>
      </c>
      <c r="H9" s="10" t="s">
        <v>166</v>
      </c>
      <c r="I9" s="14"/>
    </row>
    <row r="10" customFormat="false" ht="23.85" hidden="false" customHeight="false" outlineLevel="0" collapsed="false">
      <c r="A10" s="13" t="n">
        <v>6</v>
      </c>
      <c r="B10" s="10" t="s">
        <v>433</v>
      </c>
      <c r="C10" s="10" t="s">
        <v>434</v>
      </c>
      <c r="D10" s="10" t="s">
        <v>435</v>
      </c>
      <c r="E10" s="10" t="s">
        <v>436</v>
      </c>
      <c r="F10" s="10" t="s">
        <v>437</v>
      </c>
      <c r="G10" s="13" t="s">
        <v>167</v>
      </c>
      <c r="H10" s="10" t="s">
        <v>172</v>
      </c>
      <c r="I10" s="14"/>
    </row>
    <row r="11" customFormat="false" ht="23.85" hidden="false" customHeight="false" outlineLevel="0" collapsed="false">
      <c r="A11" s="13" t="n">
        <v>7</v>
      </c>
      <c r="B11" s="10" t="s">
        <v>438</v>
      </c>
      <c r="C11" s="10" t="s">
        <v>439</v>
      </c>
      <c r="D11" s="10" t="s">
        <v>440</v>
      </c>
      <c r="E11" s="10" t="s">
        <v>441</v>
      </c>
      <c r="F11" s="10" t="s">
        <v>442</v>
      </c>
      <c r="G11" s="13" t="s">
        <v>173</v>
      </c>
      <c r="H11" s="10" t="s">
        <v>178</v>
      </c>
      <c r="I11" s="14"/>
    </row>
    <row r="12" customFormat="false" ht="35.05" hidden="false" customHeight="false" outlineLevel="0" collapsed="false">
      <c r="A12" s="13" t="n">
        <v>8</v>
      </c>
      <c r="B12" s="10" t="s">
        <v>443</v>
      </c>
      <c r="C12" s="10" t="s">
        <v>444</v>
      </c>
      <c r="D12" s="10" t="s">
        <v>445</v>
      </c>
      <c r="E12" s="10" t="s">
        <v>446</v>
      </c>
      <c r="F12" s="10" t="s">
        <v>447</v>
      </c>
      <c r="G12" s="13" t="s">
        <v>179</v>
      </c>
      <c r="H12" s="10" t="s">
        <v>73</v>
      </c>
      <c r="I12" s="14"/>
    </row>
    <row r="13" customFormat="false" ht="23.85" hidden="false" customHeight="false" outlineLevel="0" collapsed="false">
      <c r="A13" s="13" t="n">
        <v>9</v>
      </c>
      <c r="B13" s="10" t="s">
        <v>448</v>
      </c>
      <c r="C13" s="10" t="s">
        <v>449</v>
      </c>
      <c r="D13" s="10" t="s">
        <v>450</v>
      </c>
      <c r="E13" s="10" t="s">
        <v>451</v>
      </c>
      <c r="F13" s="10" t="s">
        <v>452</v>
      </c>
      <c r="G13" s="13" t="s">
        <v>184</v>
      </c>
      <c r="H13" s="10" t="s">
        <v>65</v>
      </c>
      <c r="I13" s="14"/>
    </row>
    <row r="14" customFormat="false" ht="23.85" hidden="false" customHeight="false" outlineLevel="0" collapsed="false">
      <c r="A14" s="13" t="n">
        <v>10</v>
      </c>
      <c r="B14" s="10" t="s">
        <v>453</v>
      </c>
      <c r="C14" s="10" t="s">
        <v>454</v>
      </c>
      <c r="D14" s="10" t="s">
        <v>455</v>
      </c>
      <c r="E14" s="10" t="s">
        <v>456</v>
      </c>
      <c r="F14" s="10" t="s">
        <v>457</v>
      </c>
      <c r="G14" s="13" t="s">
        <v>189</v>
      </c>
      <c r="H14" s="10" t="s">
        <v>78</v>
      </c>
      <c r="I14"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70"/>
    <col collapsed="false" customWidth="true" hidden="false" outlineLevel="0" max="3" min="3" style="0" width="24"/>
    <col collapsed="false" customWidth="true" hidden="false" outlineLevel="0" max="4" min="4" style="0" width="60"/>
    <col collapsed="false" customWidth="true" hidden="false" outlineLevel="0" max="5" min="5" style="0" width="14"/>
  </cols>
  <sheetData>
    <row r="1" customFormat="false" ht="17.35" hidden="false" customHeight="false" outlineLevel="0" collapsed="false">
      <c r="A1" s="1" t="s">
        <v>458</v>
      </c>
    </row>
    <row r="2" customFormat="false" ht="15" hidden="false" customHeight="false" outlineLevel="0" collapsed="false">
      <c r="A2" s="2" t="s">
        <v>459</v>
      </c>
    </row>
    <row r="3" customFormat="false" ht="15" hidden="false" customHeight="false" outlineLevel="0" collapsed="false">
      <c r="A3" s="5" t="s">
        <v>460</v>
      </c>
      <c r="B3" s="5" t="s">
        <v>461</v>
      </c>
      <c r="C3" s="5" t="s">
        <v>3</v>
      </c>
      <c r="D3" s="5" t="s">
        <v>462</v>
      </c>
      <c r="E3" s="5" t="s">
        <v>463</v>
      </c>
    </row>
    <row r="4" customFormat="false" ht="15" hidden="false" customHeight="false" outlineLevel="0" collapsed="false">
      <c r="A4" s="10" t="s">
        <v>464</v>
      </c>
      <c r="B4" s="10" t="s">
        <v>465</v>
      </c>
      <c r="C4" s="10" t="s">
        <v>466</v>
      </c>
      <c r="D4" s="10" t="s">
        <v>467</v>
      </c>
      <c r="E4" s="18" t="n">
        <v>46284</v>
      </c>
    </row>
    <row r="5" customFormat="false" ht="15" hidden="false" customHeight="false" outlineLevel="0" collapsed="false">
      <c r="A5" s="10" t="s">
        <v>464</v>
      </c>
      <c r="B5" s="10" t="s">
        <v>468</v>
      </c>
      <c r="C5" s="10" t="s">
        <v>466</v>
      </c>
      <c r="D5" s="10" t="s">
        <v>469</v>
      </c>
      <c r="E5" s="18" t="n">
        <v>46284</v>
      </c>
    </row>
    <row r="6" customFormat="false" ht="23.85" hidden="false" customHeight="false" outlineLevel="0" collapsed="false">
      <c r="A6" s="10" t="s">
        <v>470</v>
      </c>
      <c r="B6" s="10" t="s">
        <v>471</v>
      </c>
      <c r="C6" s="10" t="s">
        <v>466</v>
      </c>
      <c r="D6" s="10" t="s">
        <v>472</v>
      </c>
      <c r="E6" s="18" t="n">
        <v>46284</v>
      </c>
    </row>
    <row r="7" customFormat="false" ht="15" hidden="false" customHeight="false" outlineLevel="0" collapsed="false">
      <c r="A7" s="10" t="s">
        <v>470</v>
      </c>
      <c r="B7" s="10" t="s">
        <v>473</v>
      </c>
      <c r="C7" s="10" t="s">
        <v>466</v>
      </c>
      <c r="D7" s="10" t="s">
        <v>474</v>
      </c>
      <c r="E7" s="18" t="n">
        <v>46284</v>
      </c>
    </row>
    <row r="8" customFormat="false" ht="23.85" hidden="false" customHeight="false" outlineLevel="0" collapsed="false">
      <c r="A8" s="10" t="s">
        <v>475</v>
      </c>
      <c r="B8" s="10" t="s">
        <v>476</v>
      </c>
      <c r="C8" s="10" t="s">
        <v>477</v>
      </c>
      <c r="D8" s="10" t="s">
        <v>478</v>
      </c>
      <c r="E8" s="18" t="n">
        <v>46284</v>
      </c>
    </row>
    <row r="9" customFormat="false" ht="23.85" hidden="false" customHeight="false" outlineLevel="0" collapsed="false">
      <c r="A9" s="10" t="s">
        <v>475</v>
      </c>
      <c r="B9" s="10" t="s">
        <v>479</v>
      </c>
      <c r="C9" s="10" t="s">
        <v>480</v>
      </c>
      <c r="D9" s="10" t="s">
        <v>481</v>
      </c>
      <c r="E9" s="18" t="n">
        <v>46284</v>
      </c>
    </row>
    <row r="10" customFormat="false" ht="15" hidden="false" customHeight="false" outlineLevel="0" collapsed="false">
      <c r="A10" s="10" t="s">
        <v>475</v>
      </c>
      <c r="B10" s="10" t="s">
        <v>482</v>
      </c>
      <c r="C10" s="10" t="s">
        <v>483</v>
      </c>
      <c r="D10" s="10" t="s">
        <v>484</v>
      </c>
      <c r="E10" s="18"/>
    </row>
    <row r="11" customFormat="false" ht="15" hidden="false" customHeight="false" outlineLevel="0" collapsed="false">
      <c r="A11" s="10" t="s">
        <v>464</v>
      </c>
      <c r="B11" s="10" t="s">
        <v>485</v>
      </c>
      <c r="C11" s="10" t="s">
        <v>483</v>
      </c>
      <c r="D11" s="10" t="s">
        <v>486</v>
      </c>
      <c r="E11" s="18"/>
    </row>
    <row r="12" customFormat="false" ht="15" hidden="false" customHeight="false" outlineLevel="0" collapsed="false">
      <c r="A12" s="10" t="s">
        <v>464</v>
      </c>
      <c r="B12" s="10" t="s">
        <v>313</v>
      </c>
      <c r="C12" s="10" t="s">
        <v>483</v>
      </c>
      <c r="D12" s="10" t="s">
        <v>487</v>
      </c>
      <c r="E12" s="18"/>
    </row>
    <row r="13" customFormat="false" ht="15" hidden="false" customHeight="false" outlineLevel="0" collapsed="false">
      <c r="A13" s="10" t="s">
        <v>464</v>
      </c>
      <c r="B13" s="10" t="s">
        <v>488</v>
      </c>
      <c r="C13" s="10" t="s">
        <v>483</v>
      </c>
      <c r="D13" s="10" t="s">
        <v>489</v>
      </c>
      <c r="E13" s="18"/>
    </row>
    <row r="14" customFormat="false" ht="15" hidden="false" customHeight="false" outlineLevel="0" collapsed="false">
      <c r="A14" s="10" t="s">
        <v>490</v>
      </c>
      <c r="B14" s="10" t="s">
        <v>491</v>
      </c>
      <c r="C14" s="10" t="s">
        <v>483</v>
      </c>
      <c r="D14" s="10" t="s">
        <v>492</v>
      </c>
      <c r="E14" s="18"/>
    </row>
    <row r="15" customFormat="false" ht="15" hidden="false" customHeight="false" outlineLevel="0" collapsed="false">
      <c r="A15" s="10" t="s">
        <v>493</v>
      </c>
      <c r="B15" s="10" t="s">
        <v>494</v>
      </c>
      <c r="C15" s="10" t="s">
        <v>495</v>
      </c>
      <c r="D15" s="10" t="s">
        <v>496</v>
      </c>
      <c r="E15" s="18"/>
    </row>
    <row r="16" customFormat="false" ht="15" hidden="false" customHeight="false" outlineLevel="0" collapsed="false">
      <c r="A16" s="10" t="s">
        <v>497</v>
      </c>
      <c r="B16" s="10" t="s">
        <v>498</v>
      </c>
      <c r="C16" s="10" t="s">
        <v>499</v>
      </c>
      <c r="D16" s="10" t="s">
        <v>500</v>
      </c>
      <c r="E16" s="18"/>
    </row>
    <row r="17" customFormat="false" ht="23.85" hidden="false" customHeight="false" outlineLevel="0" collapsed="false">
      <c r="A17" s="10" t="s">
        <v>501</v>
      </c>
      <c r="B17" s="10" t="s">
        <v>502</v>
      </c>
      <c r="C17" s="10" t="s">
        <v>503</v>
      </c>
      <c r="D17" s="10" t="s">
        <v>504</v>
      </c>
      <c r="E17" s="18"/>
    </row>
    <row r="18" customFormat="false" ht="15" hidden="false" customHeight="false" outlineLevel="0" collapsed="false">
      <c r="A18" s="10" t="s">
        <v>505</v>
      </c>
      <c r="B18" s="10" t="s">
        <v>506</v>
      </c>
      <c r="C18" s="10" t="s">
        <v>507</v>
      </c>
      <c r="D18" s="10" t="s">
        <v>508</v>
      </c>
      <c r="E18" s="18"/>
    </row>
    <row r="19" customFormat="false" ht="15" hidden="false" customHeight="false" outlineLevel="0" collapsed="false">
      <c r="A19" s="10" t="s">
        <v>509</v>
      </c>
      <c r="B19" s="10" t="s">
        <v>510</v>
      </c>
      <c r="C19" s="10" t="s">
        <v>511</v>
      </c>
      <c r="D19" s="10" t="s">
        <v>512</v>
      </c>
      <c r="E19" s="18"/>
    </row>
    <row r="20" customFormat="false" ht="23.85" hidden="false" customHeight="false" outlineLevel="0" collapsed="false">
      <c r="A20" s="10" t="s">
        <v>513</v>
      </c>
      <c r="B20" s="10" t="s">
        <v>514</v>
      </c>
      <c r="C20" s="10" t="s">
        <v>503</v>
      </c>
      <c r="D20" s="10" t="s">
        <v>515</v>
      </c>
      <c r="E20" s="18"/>
    </row>
    <row r="21" customFormat="false" ht="15" hidden="false" customHeight="false" outlineLevel="0" collapsed="false">
      <c r="A21" s="10" t="s">
        <v>513</v>
      </c>
      <c r="B21" s="10" t="s">
        <v>516</v>
      </c>
      <c r="C21" s="10" t="s">
        <v>503</v>
      </c>
      <c r="D21" s="10" t="s">
        <v>517</v>
      </c>
      <c r="E21" s="18"/>
    </row>
    <row r="22" customFormat="false" ht="15" hidden="false" customHeight="false" outlineLevel="0" collapsed="false">
      <c r="A22" s="10" t="s">
        <v>513</v>
      </c>
      <c r="B22" s="10" t="s">
        <v>518</v>
      </c>
      <c r="C22" s="10" t="s">
        <v>503</v>
      </c>
      <c r="D22" s="10" t="s">
        <v>519</v>
      </c>
      <c r="E22" s="18"/>
    </row>
    <row r="23" customFormat="false" ht="15" hidden="false" customHeight="false" outlineLevel="0" collapsed="false">
      <c r="A23" s="10" t="s">
        <v>513</v>
      </c>
      <c r="B23" s="10" t="s">
        <v>520</v>
      </c>
      <c r="C23" s="10" t="s">
        <v>503</v>
      </c>
      <c r="D23" s="10" t="s">
        <v>521</v>
      </c>
      <c r="E23" s="18"/>
    </row>
    <row r="24" customFormat="false" ht="23.85" hidden="false" customHeight="false" outlineLevel="0" collapsed="false">
      <c r="A24" s="10" t="s">
        <v>522</v>
      </c>
      <c r="B24" s="10" t="s">
        <v>523</v>
      </c>
      <c r="C24" s="10" t="s">
        <v>524</v>
      </c>
      <c r="D24" s="10" t="s">
        <v>525</v>
      </c>
      <c r="E24" s="18"/>
    </row>
    <row r="25" customFormat="false" ht="15" hidden="false" customHeight="false" outlineLevel="0" collapsed="false">
      <c r="A25" s="10" t="s">
        <v>522</v>
      </c>
      <c r="B25" s="10" t="s">
        <v>526</v>
      </c>
      <c r="C25" s="10" t="s">
        <v>524</v>
      </c>
      <c r="D25" s="10" t="s">
        <v>527</v>
      </c>
      <c r="E25" s="18"/>
    </row>
    <row r="26" customFormat="false" ht="15" hidden="false" customHeight="false" outlineLevel="0" collapsed="false">
      <c r="A26" s="10" t="s">
        <v>522</v>
      </c>
      <c r="B26" s="10" t="s">
        <v>528</v>
      </c>
      <c r="C26" s="10" t="s">
        <v>524</v>
      </c>
      <c r="D26" s="10" t="s">
        <v>529</v>
      </c>
      <c r="E26"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2026-09-19T23:02:00Z</dcterms:created>
  <dc:creator>openpyxl</dc:creator>
  <dc:description/>
  <dc:language>en-US</dc:language>
  <cp:lastModifiedBy/>
  <dcterms:modified xsi:type="dcterms:W3CDTF">2026-09-19T23:02:00Z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